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amdonworth/Desktop/"/>
    </mc:Choice>
  </mc:AlternateContent>
  <xr:revisionPtr revIDLastSave="0" documentId="8_{7ACB19FD-7E02-874F-8D05-E69FCC2E3B30}" xr6:coauthVersionLast="47" xr6:coauthVersionMax="47" xr10:uidLastSave="{00000000-0000-0000-0000-000000000000}"/>
  <bookViews>
    <workbookView xWindow="1080" yWindow="1160" windowWidth="27640" windowHeight="16660" xr2:uid="{A209052B-4720-2448-8975-47973395D3B8}"/>
  </bookViews>
  <sheets>
    <sheet name="Sales Progress - N5"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AA3" i="1"/>
  <c r="R4" i="1"/>
  <c r="AA4" i="1"/>
  <c r="R5" i="1"/>
  <c r="AA5" i="1"/>
  <c r="R6" i="1"/>
  <c r="AA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62" i="1"/>
  <c r="R63" i="1"/>
  <c r="R64" i="1"/>
  <c r="R65" i="1"/>
  <c r="R66" i="1"/>
  <c r="R67" i="1"/>
  <c r="R68" i="1"/>
  <c r="R69" i="1"/>
  <c r="AA7" i="1" l="1"/>
  <c r="AB7" i="1" l="1"/>
  <c r="AB4" i="1"/>
  <c r="AB3" i="1"/>
  <c r="AB5" i="1"/>
  <c r="A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Donworth</author>
  </authors>
  <commentList>
    <comment ref="T1" authorId="0" shapeId="0" xr:uid="{49AB2A65-A1DC-4F1B-B2D2-C00C673B05DF}">
      <text>
        <r>
          <rPr>
            <b/>
            <sz val="9"/>
            <color indexed="81"/>
            <rFont val="Tahoma"/>
            <family val="2"/>
          </rPr>
          <t>Sam Donworth:</t>
        </r>
        <r>
          <rPr>
            <sz val="9"/>
            <color indexed="81"/>
            <rFont val="Tahoma"/>
            <family val="2"/>
          </rPr>
          <t xml:space="preserve">
Refers to the process where the purchaser signs both the Contract and the Building Agreement in duplicate. LV then signs these, and sends one part back to purchasers solicitor. Both parties are legally bound at this point.</t>
        </r>
      </text>
    </comment>
  </commentList>
</comments>
</file>

<file path=xl/sharedStrings.xml><?xml version="1.0" encoding="utf-8"?>
<sst xmlns="http://schemas.openxmlformats.org/spreadsheetml/2006/main" count="447" uniqueCount="173">
  <si>
    <t>seeking clarity on the parking, has the solicitor reached out to Sinead or Nora on this? - 12/01</t>
  </si>
  <si>
    <t>Baiju Varghese</t>
  </si>
  <si>
    <t>Agreed</t>
  </si>
  <si>
    <t>4 Bedroom</t>
  </si>
  <si>
    <t>T</t>
  </si>
  <si>
    <t>68 Árdan View</t>
  </si>
  <si>
    <t>Stephanie Philpott &amp; Thomas Fitzgerald</t>
  </si>
  <si>
    <t>Yes</t>
  </si>
  <si>
    <t>Signed</t>
  </si>
  <si>
    <t>3 Bedroom</t>
  </si>
  <si>
    <t>67 Árdan View</t>
  </si>
  <si>
    <t>Gopi Nakala</t>
  </si>
  <si>
    <t>2 Bedroom</t>
  </si>
  <si>
    <t>66 Árdan View</t>
  </si>
  <si>
    <t>Daniel Payne</t>
  </si>
  <si>
    <t>65 Árdan View</t>
  </si>
  <si>
    <t>Mr Michael Sorial</t>
  </si>
  <si>
    <t>64 Árdan View</t>
  </si>
  <si>
    <t xml:space="preserve">Dianne Saarinas  &amp; Wendelyn Saarinas </t>
  </si>
  <si>
    <t>63 Árdan View</t>
  </si>
  <si>
    <t>Ian O'Sullivan</t>
  </si>
  <si>
    <t>D</t>
  </si>
  <si>
    <t>62 Árdan View</t>
  </si>
  <si>
    <t>Eleftheria Malichoutsaki &amp; Mr Epameinondas Moustakas</t>
  </si>
  <si>
    <t>61 Árdan View</t>
  </si>
  <si>
    <t>Ruby Rose &amp; Reno Chacko</t>
  </si>
  <si>
    <t xml:space="preserve">60 Árdan View </t>
  </si>
  <si>
    <t>For Sale</t>
  </si>
  <si>
    <t xml:space="preserve">59 Árdan View </t>
  </si>
  <si>
    <t>Jason Murphy</t>
  </si>
  <si>
    <t xml:space="preserve">58 Árdan View </t>
  </si>
  <si>
    <t>Luca Alessandro Oliviero</t>
  </si>
  <si>
    <t xml:space="preserve">57 Árdan View </t>
  </si>
  <si>
    <t xml:space="preserve">56 Árdan View </t>
  </si>
  <si>
    <t>Killian Dineen &amp; 	Chloe Davis</t>
  </si>
  <si>
    <t xml:space="preserve">55 Árdan View </t>
  </si>
  <si>
    <t>Mr Enio Bagio Junior and Ms Angela Maria Alberton de Souza</t>
  </si>
  <si>
    <t xml:space="preserve">54 Árdan View </t>
  </si>
  <si>
    <t xml:space="preserve">53 Árdan View </t>
  </si>
  <si>
    <t>Christine Natibo-oc</t>
  </si>
  <si>
    <t xml:space="preserve">52 Árdan View </t>
  </si>
  <si>
    <t>Mr Rahul Sugnani and Ms Hiral Garani</t>
  </si>
  <si>
    <t xml:space="preserve">51 Árdan View </t>
  </si>
  <si>
    <t xml:space="preserve">50 Árdan View </t>
  </si>
  <si>
    <t>SD</t>
  </si>
  <si>
    <t xml:space="preserve">49 Árdan View </t>
  </si>
  <si>
    <t xml:space="preserve">48 Árdan View </t>
  </si>
  <si>
    <t>Manju Jent &amp; Jent Jose</t>
  </si>
  <si>
    <t xml:space="preserve">47 Árdan View </t>
  </si>
  <si>
    <t xml:space="preserve">46 Árdan View </t>
  </si>
  <si>
    <t>Ms Valeria Memoli and Mr Bruno Pangia</t>
  </si>
  <si>
    <t xml:space="preserve">45 Árdan View </t>
  </si>
  <si>
    <t xml:space="preserve">Appointment to sign on Friday the 9th of January </t>
  </si>
  <si>
    <t>Ms Lucia Mele and Mr Jakub Laskosz</t>
  </si>
  <si>
    <t xml:space="preserve">44 Árdan View </t>
  </si>
  <si>
    <t xml:space="preserve">43 Árdan View </t>
  </si>
  <si>
    <t xml:space="preserve">42 Árdan View </t>
  </si>
  <si>
    <t xml:space="preserve">41 Árdan View </t>
  </si>
  <si>
    <t>checking with solicitor on contract being received</t>
  </si>
  <si>
    <t>Stephanie Flanagan &amp; Kevin Flanagan</t>
  </si>
  <si>
    <t xml:space="preserve">40 Árdan View </t>
  </si>
  <si>
    <t>Ms Claire Goulding</t>
  </si>
  <si>
    <t xml:space="preserve">39 Árdan View </t>
  </si>
  <si>
    <t xml:space="preserve">Zinovii Kava &amp; Elyzaveta Semchyshyn </t>
  </si>
  <si>
    <t xml:space="preserve">38 Árdan View </t>
  </si>
  <si>
    <t xml:space="preserve">37 Árdan View </t>
  </si>
  <si>
    <t xml:space="preserve">36 Árdan View </t>
  </si>
  <si>
    <t xml:space="preserve">Imran Musayev &amp; Markha SHABAZOVA </t>
  </si>
  <si>
    <t xml:space="preserve">35 Árdan View </t>
  </si>
  <si>
    <t>Waiting on loan offer - 04.12</t>
  </si>
  <si>
    <t>Ms Louise Bunyan</t>
  </si>
  <si>
    <t xml:space="preserve">34 Árdan View </t>
  </si>
  <si>
    <t>Ms Jasmine Thomas</t>
  </si>
  <si>
    <t xml:space="preserve">33 Árdan View </t>
  </si>
  <si>
    <t>Dylan Murray and Laura Kirwan</t>
  </si>
  <si>
    <t xml:space="preserve">32 Árdan View </t>
  </si>
  <si>
    <t>Emmet Cadogan &amp; Maria F G Gonzalez</t>
  </si>
  <si>
    <t xml:space="preserve">31 Árdan View </t>
  </si>
  <si>
    <t xml:space="preserve">30 Árdan View </t>
  </si>
  <si>
    <t xml:space="preserve">Robert O'Brien </t>
  </si>
  <si>
    <t xml:space="preserve">29 Árdan View </t>
  </si>
  <si>
    <t>Alev Sabanoglu</t>
  </si>
  <si>
    <t xml:space="preserve">28 Árdan View </t>
  </si>
  <si>
    <t>Ms Nayana Poulose &amp; Mr Jackson Pulikottil Thamby</t>
  </si>
  <si>
    <t xml:space="preserve">T </t>
  </si>
  <si>
    <t xml:space="preserve">27 Árdan View </t>
  </si>
  <si>
    <t>Mohamed Ahmed</t>
  </si>
  <si>
    <t xml:space="preserve">Yes </t>
  </si>
  <si>
    <t xml:space="preserve">26 Árdan View </t>
  </si>
  <si>
    <t>I have just spoken with the purchaser, and they advised that they received their loan offer today and will arrange to sign the contract. - 12/01</t>
  </si>
  <si>
    <t>Anil Kannampuzha Kunjumon</t>
  </si>
  <si>
    <t xml:space="preserve">25 Árdan View </t>
  </si>
  <si>
    <t>Cait McHenry</t>
  </si>
  <si>
    <t xml:space="preserve">24 Árdan View </t>
  </si>
  <si>
    <t>Shri C K Saravanakumar &amp; Sudupthi Nadhagopal</t>
  </si>
  <si>
    <t xml:space="preserve">23 Árdan View </t>
  </si>
  <si>
    <t>Anis R A Aziz and Jonathan Stolp</t>
  </si>
  <si>
    <t xml:space="preserve">22 Árdan View </t>
  </si>
  <si>
    <t>Courtney Creagh and Adam O'Sullivan</t>
  </si>
  <si>
    <t xml:space="preserve">21 Árdan View </t>
  </si>
  <si>
    <t>Jiffin Zacharia &amp; Delfy  Rajan</t>
  </si>
  <si>
    <t xml:space="preserve">20 Árdan View </t>
  </si>
  <si>
    <t>Scott Cronin &amp; Kellie Walsh</t>
  </si>
  <si>
    <t xml:space="preserve">19 Árdan View </t>
  </si>
  <si>
    <t>Loan offer in process. Expecting it in the next week, will sign then.</t>
  </si>
  <si>
    <t>Ms Ponny Rajendran Steero &amp; Mr Ginu Kurian</t>
  </si>
  <si>
    <t xml:space="preserve">18 Árdan View </t>
  </si>
  <si>
    <t>Oana Madalina Secara</t>
  </si>
  <si>
    <t xml:space="preserve">17 Árdan View </t>
  </si>
  <si>
    <t>Pending confirmation of deposit</t>
  </si>
  <si>
    <t>Aidan Oneill &amp; Lara Farmer</t>
  </si>
  <si>
    <t xml:space="preserve">16 Árdan View </t>
  </si>
  <si>
    <t>Diarmuid Kenneally &amp; Eimear Tobin</t>
  </si>
  <si>
    <t xml:space="preserve">15 Árdan View </t>
  </si>
  <si>
    <t xml:space="preserve">14 Árdan View </t>
  </si>
  <si>
    <t>Mr Fadhil Firyaguna</t>
  </si>
  <si>
    <t xml:space="preserve">13 Árdan View </t>
  </si>
  <si>
    <t>Batuhan Mundun &amp; Duygu E D Mundun</t>
  </si>
  <si>
    <t xml:space="preserve">12 Árdan View </t>
  </si>
  <si>
    <t xml:space="preserve">11 Árdan View </t>
  </si>
  <si>
    <t>Carmen Baumgartner</t>
  </si>
  <si>
    <t xml:space="preserve">10 Árdan View </t>
  </si>
  <si>
    <t>Mr Aditya Pothody Puthatta and Ms Nivethitha Dharmaraja</t>
  </si>
  <si>
    <t xml:space="preserve">9 Árdan View </t>
  </si>
  <si>
    <t>Jan S. Silvestre &amp; Pauline E. Imperial</t>
  </si>
  <si>
    <t xml:space="preserve">8 Árdan View </t>
  </si>
  <si>
    <t xml:space="preserve">7 Árdan View </t>
  </si>
  <si>
    <t>Total Private</t>
  </si>
  <si>
    <t>Contracts expected Monday the 26th of Jan</t>
  </si>
  <si>
    <t>Samuel Nana Eshun &amp; Alberta Ewornuku Adzani</t>
  </si>
  <si>
    <t xml:space="preserve">6 Árdan View </t>
  </si>
  <si>
    <t>Sold</t>
  </si>
  <si>
    <t>Due to sign imminently</t>
  </si>
  <si>
    <t>Mr Marcelo Acher &amp; Lislaine Lobo Goncalves Acher</t>
  </si>
  <si>
    <t xml:space="preserve">5 Árdan View </t>
  </si>
  <si>
    <t>Requested appointment to sign contract 05.01</t>
  </si>
  <si>
    <t xml:space="preserve"> Naga Venkata Mahesh &amp; Gowrianusha Voruganti</t>
  </si>
  <si>
    <t xml:space="preserve">4 Árdan View </t>
  </si>
  <si>
    <t>Robert &amp; Cordelia Foley</t>
  </si>
  <si>
    <t xml:space="preserve">3 Árdan View </t>
  </si>
  <si>
    <t xml:space="preserve">For Sale </t>
  </si>
  <si>
    <t xml:space="preserve">As per my understanding, once the underwriter clears us, they contact our solicitor and then we will be in a position so sign the contract. </t>
  </si>
  <si>
    <t xml:space="preserve">2 Árdan View </t>
  </si>
  <si>
    <t xml:space="preserve">% of Total Private </t>
  </si>
  <si>
    <t xml:space="preserve">Total </t>
  </si>
  <si>
    <t>Status</t>
  </si>
  <si>
    <t>Valuation done last week, loan offer should be imminent - 12/01</t>
  </si>
  <si>
    <t>Ms Ellaine Marin &amp; Mr Jason Mamaril</t>
  </si>
  <si>
    <t>On hold</t>
  </si>
  <si>
    <t xml:space="preserve">1 Árdan View </t>
  </si>
  <si>
    <t xml:space="preserve">Comments </t>
  </si>
  <si>
    <t>Mortgage Expiration Date</t>
  </si>
  <si>
    <t xml:space="preserve">Snagging Start Date </t>
  </si>
  <si>
    <t xml:space="preserve">Projected Handover Date </t>
  </si>
  <si>
    <t>Date of One Part Contract Returned</t>
  </si>
  <si>
    <t xml:space="preserve">Date of Receipt of Signed Contracts </t>
  </si>
  <si>
    <t>Target for Contract</t>
  </si>
  <si>
    <t xml:space="preserve">Date of Reply to Queries </t>
  </si>
  <si>
    <t>Date of Queries Raised</t>
  </si>
  <si>
    <t xml:space="preserve">Date of Contract Issue </t>
  </si>
  <si>
    <t>Sale Agreed &amp; Loan Approved</t>
  </si>
  <si>
    <t>Receipt</t>
  </si>
  <si>
    <t>Deposit</t>
  </si>
  <si>
    <t>Purchaser Information</t>
  </si>
  <si>
    <t>Proof of Funds</t>
  </si>
  <si>
    <t>SADRL</t>
  </si>
  <si>
    <t>Solicitor's Information</t>
  </si>
  <si>
    <t>Price</t>
  </si>
  <si>
    <t>Release</t>
  </si>
  <si>
    <t xml:space="preserve">Phase </t>
  </si>
  <si>
    <t>Bedrooms</t>
  </si>
  <si>
    <t xml:space="preserve">Property Designation </t>
  </si>
  <si>
    <t xml:space="preserve">Address of Dwelling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</si>
</sst>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3C]#,##0"/>
    <numFmt numFmtId="165" formatCode="[$-409]d\-mmm\-yy;@"/>
  </numFmts>
  <fonts count="13" x14ac:knownFonts="1">
    <font>
      <sz val="11"/>
      <color theme="1"/>
      <name val="Aptos Narrow"/>
      <family val="2"/>
      <scheme val="minor"/>
    </font>
    <font>
      <sz val="12"/>
      <color theme="1"/>
      <name val="Aptos"/>
      <family val="2"/>
    </font>
    <font>
      <b/>
      <sz val="11"/>
      <color theme="1"/>
      <name val="Aptos Narrow"/>
      <family val="2"/>
      <scheme val="minor"/>
    </font>
    <font>
      <sz val="11"/>
      <name val="Aptos Narrow"/>
      <family val="2"/>
      <scheme val="minor"/>
    </font>
    <font>
      <sz val="11"/>
      <color theme="1"/>
      <name val="Aptos"/>
      <family val="2"/>
    </font>
    <font>
      <sz val="11"/>
      <name val="Arial"/>
      <family val="2"/>
    </font>
    <font>
      <sz val="10"/>
      <name val="Arial"/>
      <family val="2"/>
    </font>
    <font>
      <b/>
      <sz val="11"/>
      <color theme="0"/>
      <name val="Aptos Narrow"/>
      <family val="2"/>
      <scheme val="minor"/>
    </font>
    <font>
      <sz val="11"/>
      <color theme="1"/>
      <name val="Arial"/>
      <family val="2"/>
    </font>
    <font>
      <sz val="11"/>
      <color theme="1"/>
      <name val="Aptos"/>
      <family val="2"/>
      <charset val="1"/>
    </font>
    <font>
      <b/>
      <sz val="11"/>
      <name val="Aptos Narrow"/>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0070C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left"/>
    </xf>
    <xf numFmtId="0" fontId="0" fillId="0" borderId="1" xfId="0" applyBorder="1" applyAlignment="1">
      <alignment horizontal="center" vertical="center"/>
    </xf>
    <xf numFmtId="17" fontId="0" fillId="0" borderId="1" xfId="0" applyNumberFormat="1" applyBorder="1" applyAlignment="1">
      <alignment horizontal="center"/>
    </xf>
    <xf numFmtId="165" fontId="0" fillId="2" borderId="1" xfId="0" applyNumberFormat="1" applyFill="1" applyBorder="1" applyAlignment="1">
      <alignment horizontal="center" vertical="center"/>
    </xf>
    <xf numFmtId="15" fontId="0" fillId="3" borderId="1" xfId="0" applyNumberFormat="1" applyFill="1"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0" fontId="0" fillId="4" borderId="1" xfId="0" applyFill="1" applyBorder="1" applyAlignment="1">
      <alignment horizontal="center" vertical="center"/>
    </xf>
    <xf numFmtId="164" fontId="0" fillId="0" borderId="1" xfId="0" applyNumberFormat="1" applyBorder="1" applyAlignment="1">
      <alignment horizontal="center" vertical="center"/>
    </xf>
    <xf numFmtId="15" fontId="0" fillId="0" borderId="1" xfId="0" applyNumberFormat="1" applyBorder="1" applyAlignment="1">
      <alignment horizontal="center" vertical="center"/>
    </xf>
    <xf numFmtId="0" fontId="1" fillId="0" borderId="0" xfId="0" applyFont="1" applyAlignment="1">
      <alignment horizontal="left" vertical="center"/>
    </xf>
    <xf numFmtId="165"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xf>
    <xf numFmtId="0" fontId="0" fillId="5" borderId="1" xfId="0" applyFill="1" applyBorder="1" applyAlignment="1">
      <alignment horizontal="left"/>
    </xf>
    <xf numFmtId="0" fontId="0" fillId="0" borderId="1" xfId="0" applyBorder="1" applyAlignment="1">
      <alignment horizontal="left" vertical="center"/>
    </xf>
    <xf numFmtId="0" fontId="0" fillId="0" borderId="1" xfId="0" applyBorder="1" applyAlignment="1">
      <alignment horizontal="left" wrapText="1"/>
    </xf>
    <xf numFmtId="15" fontId="0" fillId="5" borderId="1" xfId="0" applyNumberFormat="1" applyFill="1" applyBorder="1" applyAlignment="1">
      <alignment horizontal="center" vertical="center"/>
    </xf>
    <xf numFmtId="0" fontId="0" fillId="5" borderId="1" xfId="0" applyFill="1" applyBorder="1" applyAlignment="1">
      <alignment horizontal="center" vertical="center"/>
    </xf>
    <xf numFmtId="165" fontId="0" fillId="5" borderId="1" xfId="0" applyNumberFormat="1" applyFill="1" applyBorder="1" applyAlignment="1">
      <alignment horizontal="center"/>
    </xf>
    <xf numFmtId="165" fontId="0" fillId="5" borderId="1" xfId="0" applyNumberFormat="1"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center"/>
    </xf>
    <xf numFmtId="165" fontId="0" fillId="3" borderId="2" xfId="0" applyNumberFormat="1" applyFill="1" applyBorder="1" applyAlignment="1">
      <alignment horizontal="center" vertical="center"/>
    </xf>
    <xf numFmtId="165" fontId="3" fillId="3" borderId="1" xfId="0" applyNumberFormat="1" applyFont="1" applyFill="1" applyBorder="1" applyAlignment="1">
      <alignment horizontal="center" vertical="center"/>
    </xf>
    <xf numFmtId="0" fontId="4" fillId="0" borderId="0" xfId="0" applyFont="1" applyAlignment="1">
      <alignment horizontal="center"/>
    </xf>
    <xf numFmtId="165" fontId="0" fillId="0" borderId="1" xfId="0" applyNumberForma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165" fontId="0" fillId="3" borderId="1" xfId="0" applyNumberFormat="1" applyFill="1" applyBorder="1" applyAlignment="1">
      <alignment horizontal="center"/>
    </xf>
    <xf numFmtId="0" fontId="6" fillId="0" borderId="1" xfId="0" applyFont="1" applyBorder="1" applyAlignment="1">
      <alignment horizontal="center"/>
    </xf>
    <xf numFmtId="0" fontId="5" fillId="0" borderId="1" xfId="0" applyFont="1" applyBorder="1" applyAlignment="1">
      <alignment horizontal="center"/>
    </xf>
    <xf numFmtId="0" fontId="0" fillId="5" borderId="1" xfId="0" applyFill="1" applyBorder="1" applyAlignment="1">
      <alignment horizontal="left" wrapText="1"/>
    </xf>
    <xf numFmtId="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7" fillId="6" borderId="1" xfId="0" applyFont="1" applyFill="1" applyBorder="1" applyAlignment="1">
      <alignment horizontal="center" vertical="center"/>
    </xf>
    <xf numFmtId="0" fontId="8" fillId="0" borderId="1" xfId="0" applyFont="1" applyBorder="1" applyAlignment="1">
      <alignment horizontal="center"/>
    </xf>
    <xf numFmtId="9" fontId="0" fillId="0" borderId="1" xfId="0" applyNumberFormat="1" applyBorder="1" applyAlignment="1">
      <alignment horizontal="center" vertical="center"/>
    </xf>
    <xf numFmtId="0" fontId="7" fillId="6" borderId="2" xfId="0" applyFont="1" applyFill="1" applyBorder="1" applyAlignment="1">
      <alignment horizontal="center" vertical="center"/>
    </xf>
    <xf numFmtId="15" fontId="0" fillId="3" borderId="1" xfId="0" applyNumberFormat="1" applyFill="1" applyBorder="1" applyAlignment="1">
      <alignment horizontal="center"/>
    </xf>
    <xf numFmtId="0" fontId="4" fillId="0" borderId="1" xfId="0" applyFont="1" applyBorder="1" applyAlignment="1">
      <alignment horizontal="center"/>
    </xf>
    <xf numFmtId="0" fontId="9" fillId="0" borderId="0" xfId="0" applyFont="1" applyAlignment="1">
      <alignment horizontal="center"/>
    </xf>
    <xf numFmtId="0" fontId="10" fillId="7" borderId="1" xfId="0" applyFont="1" applyFill="1" applyBorder="1"/>
    <xf numFmtId="0" fontId="10" fillId="7" borderId="1" xfId="0" applyFont="1" applyFill="1" applyBorder="1" applyAlignment="1">
      <alignment horizontal="center" vertical="center" wrapText="1"/>
    </xf>
    <xf numFmtId="0" fontId="2" fillId="7" borderId="1" xfId="0" applyFont="1" applyFill="1" applyBorder="1" applyAlignment="1">
      <alignment horizontal="center"/>
    </xf>
    <xf numFmtId="0" fontId="10" fillId="7"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165" fontId="7" fillId="6"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0C26-4676-AE48-8DD5-360D2A0EFA53}">
  <dimension ref="A1:AB70"/>
  <sheetViews>
    <sheetView tabSelected="1" topLeftCell="A6" zoomScale="176" zoomScaleNormal="176" workbookViewId="0">
      <pane xSplit="1" topLeftCell="H1" activePane="topRight" state="frozen"/>
      <selection pane="topRight" activeCell="H47" sqref="H47"/>
    </sheetView>
  </sheetViews>
  <sheetFormatPr baseColWidth="10" defaultColWidth="8.6640625" defaultRowHeight="15" x14ac:dyDescent="0.2"/>
  <cols>
    <col min="1" max="1" width="13.1640625" style="1" bestFit="1" customWidth="1"/>
    <col min="2" max="2" width="12.5" style="1" customWidth="1"/>
    <col min="3" max="3" width="10.33203125" style="1" customWidth="1"/>
    <col min="4" max="4" width="8.6640625" style="1"/>
    <col min="5" max="5" width="9.5" style="1" bestFit="1" customWidth="1"/>
    <col min="6" max="6" width="11.83203125" style="1" bestFit="1" customWidth="1"/>
    <col min="7" max="8" width="8.6640625" style="1"/>
    <col min="9" max="9" width="10.1640625" style="1" bestFit="1" customWidth="1"/>
    <col min="10" max="10" width="8.6640625" style="1"/>
    <col min="11" max="11" width="51.1640625" style="1" bestFit="1" customWidth="1"/>
    <col min="12" max="12" width="10" style="1" customWidth="1"/>
    <col min="13" max="17" width="10.1640625" style="1" bestFit="1" customWidth="1"/>
    <col min="18" max="18" width="9.83203125" style="1" bestFit="1" customWidth="1"/>
    <col min="19" max="20" width="9.6640625" style="1" bestFit="1" customWidth="1"/>
    <col min="21" max="21" width="10" style="1" customWidth="1"/>
    <col min="22" max="22" width="8.6640625" style="1"/>
    <col min="23" max="23" width="10.33203125" style="1" customWidth="1"/>
    <col min="24" max="24" width="118.5" style="1" bestFit="1" customWidth="1"/>
    <col min="25" max="25" width="8.6640625" style="1"/>
    <col min="26" max="26" width="11.1640625" style="1" bestFit="1" customWidth="1"/>
    <col min="27" max="27" width="8.6640625" style="1"/>
    <col min="28" max="28" width="15.5" style="1" bestFit="1" customWidth="1"/>
    <col min="29" max="31" width="8.6640625" style="1"/>
    <col min="32" max="32" width="15.1640625" style="1" bestFit="1" customWidth="1"/>
    <col min="33" max="16384" width="8.6640625" style="1"/>
  </cols>
  <sheetData>
    <row r="1" spans="1:28" ht="64" x14ac:dyDescent="0.2">
      <c r="A1" s="49" t="s">
        <v>172</v>
      </c>
      <c r="B1" s="49" t="s">
        <v>171</v>
      </c>
      <c r="C1" s="49" t="s">
        <v>170</v>
      </c>
      <c r="D1" s="49" t="s">
        <v>169</v>
      </c>
      <c r="E1" s="49" t="s">
        <v>168</v>
      </c>
      <c r="F1" s="49" t="s">
        <v>167</v>
      </c>
      <c r="G1" s="49" t="s">
        <v>145</v>
      </c>
      <c r="H1" s="49" t="s">
        <v>166</v>
      </c>
      <c r="I1" s="50" t="s">
        <v>165</v>
      </c>
      <c r="J1" s="49" t="s">
        <v>164</v>
      </c>
      <c r="K1" s="49" t="s">
        <v>163</v>
      </c>
      <c r="L1" s="50" t="s">
        <v>162</v>
      </c>
      <c r="M1" s="50" t="s">
        <v>161</v>
      </c>
      <c r="N1" s="50" t="s">
        <v>160</v>
      </c>
      <c r="O1" s="50" t="s">
        <v>159</v>
      </c>
      <c r="P1" s="50" t="s">
        <v>158</v>
      </c>
      <c r="Q1" s="50" t="s">
        <v>157</v>
      </c>
      <c r="R1" s="50" t="s">
        <v>156</v>
      </c>
      <c r="S1" s="49" t="s">
        <v>155</v>
      </c>
      <c r="T1" s="49" t="s">
        <v>154</v>
      </c>
      <c r="U1" s="48" t="s">
        <v>153</v>
      </c>
      <c r="V1" s="48" t="s">
        <v>152</v>
      </c>
      <c r="W1" s="48" t="s">
        <v>151</v>
      </c>
      <c r="X1" s="48" t="s">
        <v>150</v>
      </c>
    </row>
    <row r="2" spans="1:28" ht="16" x14ac:dyDescent="0.2">
      <c r="A2" s="4" t="s">
        <v>149</v>
      </c>
      <c r="B2" s="4" t="s">
        <v>44</v>
      </c>
      <c r="C2" s="4" t="s">
        <v>3</v>
      </c>
      <c r="D2" s="4">
        <v>6</v>
      </c>
      <c r="E2" s="12">
        <v>45912</v>
      </c>
      <c r="F2" s="11">
        <v>485000</v>
      </c>
      <c r="G2" s="10" t="s">
        <v>2</v>
      </c>
      <c r="H2" s="4"/>
      <c r="I2" s="9" t="s">
        <v>148</v>
      </c>
      <c r="J2" s="4"/>
      <c r="K2" s="4" t="s">
        <v>147</v>
      </c>
      <c r="L2" s="7">
        <v>45971</v>
      </c>
      <c r="M2" s="7">
        <v>45971</v>
      </c>
      <c r="N2" s="7">
        <v>45972</v>
      </c>
      <c r="O2" s="7">
        <v>45972</v>
      </c>
      <c r="P2" s="32">
        <v>45975</v>
      </c>
      <c r="Q2" s="32">
        <v>45980</v>
      </c>
      <c r="R2" s="6">
        <f>O2+42</f>
        <v>46014</v>
      </c>
      <c r="S2" s="4"/>
      <c r="T2" s="4"/>
      <c r="U2" s="5">
        <v>46054</v>
      </c>
      <c r="V2" s="4"/>
      <c r="W2" s="4"/>
      <c r="X2" s="19" t="s">
        <v>146</v>
      </c>
      <c r="Z2" s="47" t="s">
        <v>145</v>
      </c>
      <c r="AA2" s="46" t="s">
        <v>144</v>
      </c>
      <c r="AB2" s="45" t="s">
        <v>143</v>
      </c>
    </row>
    <row r="3" spans="1:28" ht="16" x14ac:dyDescent="0.2">
      <c r="A3" s="4" t="s">
        <v>142</v>
      </c>
      <c r="B3" s="4" t="s">
        <v>44</v>
      </c>
      <c r="C3" s="4" t="s">
        <v>9</v>
      </c>
      <c r="D3" s="4">
        <v>6</v>
      </c>
      <c r="E3" s="12">
        <v>45912</v>
      </c>
      <c r="F3" s="11">
        <v>445000</v>
      </c>
      <c r="G3" s="24" t="s">
        <v>27</v>
      </c>
      <c r="H3" s="4"/>
      <c r="I3" s="9"/>
      <c r="J3" s="4"/>
      <c r="K3" s="4"/>
      <c r="L3" s="20"/>
      <c r="M3" s="20"/>
      <c r="N3" s="20"/>
      <c r="O3" s="20"/>
      <c r="P3" s="22"/>
      <c r="Q3" s="22"/>
      <c r="R3" s="6">
        <f>O3+42</f>
        <v>42</v>
      </c>
      <c r="S3" s="4"/>
      <c r="T3" s="4"/>
      <c r="U3" s="5">
        <v>46054</v>
      </c>
      <c r="V3" s="4"/>
      <c r="W3" s="4"/>
      <c r="X3" s="19" t="s">
        <v>141</v>
      </c>
      <c r="Z3" s="41" t="s">
        <v>140</v>
      </c>
      <c r="AA3" s="8">
        <f>COUNTIF(G2:G69, "For Sale")</f>
        <v>17</v>
      </c>
      <c r="AB3" s="40">
        <f>AA3/AA7</f>
        <v>0.25</v>
      </c>
    </row>
    <row r="4" spans="1:28" x14ac:dyDescent="0.2">
      <c r="A4" s="4" t="s">
        <v>139</v>
      </c>
      <c r="B4" s="4" t="s">
        <v>44</v>
      </c>
      <c r="C4" s="4" t="s">
        <v>9</v>
      </c>
      <c r="D4" s="4">
        <v>6</v>
      </c>
      <c r="E4" s="12">
        <v>45912</v>
      </c>
      <c r="F4" s="11">
        <v>445000</v>
      </c>
      <c r="G4" s="10" t="s">
        <v>2</v>
      </c>
      <c r="H4" s="4"/>
      <c r="I4" s="9"/>
      <c r="J4" s="4"/>
      <c r="K4" s="44" t="s">
        <v>138</v>
      </c>
      <c r="L4" s="7">
        <v>45987</v>
      </c>
      <c r="M4" s="7">
        <v>45987</v>
      </c>
      <c r="N4" s="7">
        <v>45987</v>
      </c>
      <c r="O4" s="7">
        <v>45988</v>
      </c>
      <c r="P4" s="4"/>
      <c r="Q4" s="4"/>
      <c r="R4" s="6">
        <f>O4+42</f>
        <v>46030</v>
      </c>
      <c r="S4" s="4"/>
      <c r="T4" s="4"/>
      <c r="U4" s="5">
        <v>46054</v>
      </c>
      <c r="V4" s="4"/>
      <c r="W4" s="4"/>
      <c r="X4" s="18"/>
      <c r="Z4" s="41" t="s">
        <v>2</v>
      </c>
      <c r="AA4" s="8">
        <f>COUNTIF(G2:G69, "Agreed")</f>
        <v>28</v>
      </c>
      <c r="AB4" s="40">
        <f>AA4/AA7</f>
        <v>0.41176470588235292</v>
      </c>
    </row>
    <row r="5" spans="1:28" ht="16" x14ac:dyDescent="0.2">
      <c r="A5" s="4" t="s">
        <v>137</v>
      </c>
      <c r="B5" s="4" t="s">
        <v>44</v>
      </c>
      <c r="C5" s="4" t="s">
        <v>9</v>
      </c>
      <c r="D5" s="4">
        <v>6</v>
      </c>
      <c r="E5" s="12">
        <v>45912</v>
      </c>
      <c r="F5" s="11">
        <v>445000</v>
      </c>
      <c r="G5" s="16" t="s">
        <v>8</v>
      </c>
      <c r="H5" s="4"/>
      <c r="I5" s="9">
        <v>45938</v>
      </c>
      <c r="J5" s="4"/>
      <c r="K5" s="43" t="s">
        <v>136</v>
      </c>
      <c r="L5" s="7">
        <v>45940</v>
      </c>
      <c r="M5" s="7">
        <v>45940</v>
      </c>
      <c r="N5" s="7">
        <v>45940</v>
      </c>
      <c r="O5" s="7">
        <v>45943</v>
      </c>
      <c r="P5" s="7">
        <v>45993</v>
      </c>
      <c r="Q5" s="7">
        <v>46001</v>
      </c>
      <c r="R5" s="14">
        <f>O5+42</f>
        <v>45985</v>
      </c>
      <c r="S5" s="7">
        <v>46038</v>
      </c>
      <c r="T5" s="7">
        <v>46038</v>
      </c>
      <c r="U5" s="5">
        <v>46054</v>
      </c>
      <c r="V5" s="4"/>
      <c r="W5" s="4"/>
      <c r="X5" s="19" t="s">
        <v>135</v>
      </c>
      <c r="Z5" s="41" t="s">
        <v>8</v>
      </c>
      <c r="AA5" s="8">
        <f>COUNTIF(G2:G69, "Signed")</f>
        <v>23</v>
      </c>
      <c r="AB5" s="40">
        <f>AA5/AA7</f>
        <v>0.33823529411764708</v>
      </c>
    </row>
    <row r="6" spans="1:28" x14ac:dyDescent="0.2">
      <c r="A6" s="4" t="s">
        <v>134</v>
      </c>
      <c r="B6" s="4" t="s">
        <v>44</v>
      </c>
      <c r="C6" s="4" t="s">
        <v>9</v>
      </c>
      <c r="D6" s="4">
        <v>6</v>
      </c>
      <c r="E6" s="12">
        <v>45912</v>
      </c>
      <c r="F6" s="11">
        <v>445000</v>
      </c>
      <c r="G6" s="10" t="s">
        <v>2</v>
      </c>
      <c r="H6" s="4" t="s">
        <v>7</v>
      </c>
      <c r="I6" s="9">
        <v>46314</v>
      </c>
      <c r="J6" s="4"/>
      <c r="K6" s="4" t="s">
        <v>133</v>
      </c>
      <c r="L6" s="42">
        <v>45949</v>
      </c>
      <c r="M6" s="42">
        <v>45950</v>
      </c>
      <c r="N6" s="32">
        <v>45950</v>
      </c>
      <c r="O6" s="32">
        <v>45965</v>
      </c>
      <c r="P6" s="4"/>
      <c r="Q6" s="4"/>
      <c r="R6" s="6">
        <f>O6+42</f>
        <v>46007</v>
      </c>
      <c r="S6" s="4"/>
      <c r="T6" s="4"/>
      <c r="U6" s="5">
        <v>46054</v>
      </c>
      <c r="V6" s="4"/>
      <c r="W6" s="4"/>
      <c r="X6" s="18" t="s">
        <v>132</v>
      </c>
      <c r="Z6" s="41" t="s">
        <v>131</v>
      </c>
      <c r="AA6" s="4">
        <f>COUNTIF(G1:G69, "Sold")</f>
        <v>0</v>
      </c>
      <c r="AB6" s="40">
        <f>AA6/AA7</f>
        <v>0</v>
      </c>
    </row>
    <row r="7" spans="1:28" x14ac:dyDescent="0.2">
      <c r="A7" s="4" t="s">
        <v>130</v>
      </c>
      <c r="B7" s="4" t="s">
        <v>44</v>
      </c>
      <c r="C7" s="4" t="s">
        <v>9</v>
      </c>
      <c r="D7" s="4">
        <v>6</v>
      </c>
      <c r="E7" s="12">
        <v>45912</v>
      </c>
      <c r="F7" s="11">
        <v>445000</v>
      </c>
      <c r="G7" s="10" t="s">
        <v>2</v>
      </c>
      <c r="H7" s="4"/>
      <c r="I7" s="9"/>
      <c r="J7" s="4"/>
      <c r="K7" s="39" t="s">
        <v>129</v>
      </c>
      <c r="L7" s="7">
        <v>45950</v>
      </c>
      <c r="M7" s="7">
        <v>45950</v>
      </c>
      <c r="N7" s="7">
        <v>45950</v>
      </c>
      <c r="O7" s="7">
        <v>45951</v>
      </c>
      <c r="P7" s="4"/>
      <c r="Q7" s="4"/>
      <c r="R7" s="6">
        <f>O7+42</f>
        <v>45993</v>
      </c>
      <c r="S7" s="4"/>
      <c r="T7" s="4"/>
      <c r="U7" s="5">
        <v>46054</v>
      </c>
      <c r="V7" s="4"/>
      <c r="W7" s="4"/>
      <c r="X7" s="18" t="s">
        <v>128</v>
      </c>
      <c r="Z7" s="38" t="s">
        <v>127</v>
      </c>
      <c r="AA7" s="37">
        <f>SUM(AA3:AA6)</f>
        <v>68</v>
      </c>
      <c r="AB7" s="36">
        <f>AA7/AA7</f>
        <v>1</v>
      </c>
    </row>
    <row r="8" spans="1:28" x14ac:dyDescent="0.2">
      <c r="A8" s="4" t="s">
        <v>126</v>
      </c>
      <c r="B8" s="4" t="s">
        <v>44</v>
      </c>
      <c r="C8" s="4" t="s">
        <v>9</v>
      </c>
      <c r="D8" s="4">
        <v>6</v>
      </c>
      <c r="E8" s="12">
        <v>45912</v>
      </c>
      <c r="F8" s="11">
        <v>445000</v>
      </c>
      <c r="G8" s="24" t="s">
        <v>27</v>
      </c>
      <c r="H8" s="4"/>
      <c r="I8" s="9"/>
      <c r="J8" s="4"/>
      <c r="K8" s="4"/>
      <c r="L8" s="20"/>
      <c r="M8" s="20"/>
      <c r="N8" s="20"/>
      <c r="O8" s="20"/>
      <c r="P8" s="4"/>
      <c r="Q8" s="4"/>
      <c r="R8" s="6">
        <f>O8+42</f>
        <v>42</v>
      </c>
      <c r="S8" s="4"/>
      <c r="T8" s="4"/>
      <c r="U8" s="5">
        <v>46054</v>
      </c>
      <c r="V8" s="4"/>
      <c r="W8" s="4"/>
      <c r="X8" s="18"/>
    </row>
    <row r="9" spans="1:28" x14ac:dyDescent="0.2">
      <c r="A9" s="4" t="s">
        <v>125</v>
      </c>
      <c r="B9" s="4" t="s">
        <v>44</v>
      </c>
      <c r="C9" s="4" t="s">
        <v>3</v>
      </c>
      <c r="D9" s="4">
        <v>6</v>
      </c>
      <c r="E9" s="12">
        <v>45912</v>
      </c>
      <c r="F9" s="11">
        <v>485000</v>
      </c>
      <c r="G9" s="16" t="s">
        <v>8</v>
      </c>
      <c r="H9" s="1" t="s">
        <v>7</v>
      </c>
      <c r="I9" s="9">
        <v>45912</v>
      </c>
      <c r="J9" s="4" t="s">
        <v>7</v>
      </c>
      <c r="K9" s="30" t="s">
        <v>124</v>
      </c>
      <c r="L9" s="14">
        <v>45915</v>
      </c>
      <c r="M9" s="14">
        <v>45915</v>
      </c>
      <c r="N9" s="14">
        <v>45915</v>
      </c>
      <c r="O9" s="14">
        <v>45919</v>
      </c>
      <c r="P9" s="15"/>
      <c r="Q9" s="15"/>
      <c r="R9" s="14">
        <f>O9+42</f>
        <v>45961</v>
      </c>
      <c r="S9" s="7">
        <v>45933</v>
      </c>
      <c r="T9" s="7">
        <v>45944</v>
      </c>
      <c r="U9" s="5">
        <v>46054</v>
      </c>
      <c r="V9" s="4"/>
      <c r="W9" s="4"/>
      <c r="X9" s="18"/>
    </row>
    <row r="10" spans="1:28" x14ac:dyDescent="0.2">
      <c r="A10" s="4" t="s">
        <v>123</v>
      </c>
      <c r="B10" s="4" t="s">
        <v>21</v>
      </c>
      <c r="C10" s="4" t="s">
        <v>3</v>
      </c>
      <c r="D10" s="4">
        <v>6</v>
      </c>
      <c r="E10" s="12">
        <v>45912</v>
      </c>
      <c r="F10" s="11">
        <v>500000</v>
      </c>
      <c r="G10" s="10" t="s">
        <v>2</v>
      </c>
      <c r="H10" s="4" t="s">
        <v>7</v>
      </c>
      <c r="I10" s="9">
        <v>46013</v>
      </c>
      <c r="J10" s="4" t="s">
        <v>7</v>
      </c>
      <c r="K10" t="s">
        <v>122</v>
      </c>
      <c r="L10" s="7">
        <v>46013</v>
      </c>
      <c r="M10" s="7">
        <v>46013</v>
      </c>
      <c r="N10" s="7">
        <v>46014</v>
      </c>
      <c r="O10" s="14">
        <v>46013</v>
      </c>
      <c r="P10" s="4"/>
      <c r="Q10" s="4"/>
      <c r="R10" s="6">
        <f>O10+42</f>
        <v>46055</v>
      </c>
      <c r="S10" s="4"/>
      <c r="T10" s="4"/>
      <c r="U10" s="5">
        <v>46054</v>
      </c>
      <c r="V10" s="4"/>
      <c r="W10" s="4"/>
      <c r="X10" s="18"/>
    </row>
    <row r="11" spans="1:28" x14ac:dyDescent="0.2">
      <c r="A11" s="4" t="s">
        <v>121</v>
      </c>
      <c r="B11" s="4" t="s">
        <v>44</v>
      </c>
      <c r="C11" s="4" t="s">
        <v>9</v>
      </c>
      <c r="D11" s="4">
        <v>6</v>
      </c>
      <c r="E11" s="12">
        <v>45912</v>
      </c>
      <c r="F11" s="11">
        <v>445000</v>
      </c>
      <c r="G11" s="16" t="s">
        <v>8</v>
      </c>
      <c r="H11" s="4" t="s">
        <v>7</v>
      </c>
      <c r="I11" s="9">
        <v>45912</v>
      </c>
      <c r="J11" s="4" t="s">
        <v>7</v>
      </c>
      <c r="K11" s="4" t="s">
        <v>120</v>
      </c>
      <c r="L11" s="14">
        <v>45917</v>
      </c>
      <c r="M11" s="14">
        <v>45917</v>
      </c>
      <c r="N11" s="14">
        <v>45917</v>
      </c>
      <c r="O11" s="14">
        <v>45922</v>
      </c>
      <c r="P11" s="7">
        <v>45925</v>
      </c>
      <c r="Q11" s="7">
        <v>45943</v>
      </c>
      <c r="R11" s="14">
        <f>O11+42</f>
        <v>45964</v>
      </c>
      <c r="S11" s="7">
        <v>45971</v>
      </c>
      <c r="T11" s="7">
        <v>45973</v>
      </c>
      <c r="U11" s="5">
        <v>46054</v>
      </c>
      <c r="V11" s="4"/>
      <c r="W11" s="4"/>
      <c r="X11" s="18"/>
    </row>
    <row r="12" spans="1:28" x14ac:dyDescent="0.2">
      <c r="A12" s="4" t="s">
        <v>119</v>
      </c>
      <c r="B12" s="4" t="s">
        <v>44</v>
      </c>
      <c r="C12" s="4" t="s">
        <v>9</v>
      </c>
      <c r="D12" s="4">
        <v>6</v>
      </c>
      <c r="E12" s="12">
        <v>45912</v>
      </c>
      <c r="F12" s="11">
        <v>445000</v>
      </c>
      <c r="G12" s="24" t="s">
        <v>27</v>
      </c>
      <c r="H12" s="4"/>
      <c r="I12" s="9"/>
      <c r="J12" s="4"/>
      <c r="K12" s="4"/>
      <c r="L12" s="23"/>
      <c r="M12" s="23"/>
      <c r="N12" s="23"/>
      <c r="O12" s="23"/>
      <c r="P12" s="20"/>
      <c r="Q12" s="20"/>
      <c r="R12" s="6">
        <f>O12+42</f>
        <v>42</v>
      </c>
      <c r="S12" s="4"/>
      <c r="T12" s="4"/>
      <c r="U12" s="5">
        <v>46054</v>
      </c>
      <c r="V12" s="4"/>
      <c r="W12" s="4"/>
      <c r="X12" s="18"/>
    </row>
    <row r="13" spans="1:28" x14ac:dyDescent="0.2">
      <c r="A13" s="4" t="s">
        <v>118</v>
      </c>
      <c r="B13" s="4" t="s">
        <v>44</v>
      </c>
      <c r="C13" s="4" t="s">
        <v>9</v>
      </c>
      <c r="D13" s="4">
        <v>6</v>
      </c>
      <c r="E13" s="12">
        <v>45912</v>
      </c>
      <c r="F13" s="11">
        <v>445000</v>
      </c>
      <c r="G13" s="16" t="s">
        <v>8</v>
      </c>
      <c r="H13" s="4" t="s">
        <v>7</v>
      </c>
      <c r="I13" s="9">
        <v>45912</v>
      </c>
      <c r="J13" s="4" t="s">
        <v>7</v>
      </c>
      <c r="K13" s="4" t="s">
        <v>117</v>
      </c>
      <c r="L13" s="7">
        <v>45915</v>
      </c>
      <c r="M13" s="7">
        <v>45915</v>
      </c>
      <c r="N13" s="14">
        <v>45916</v>
      </c>
      <c r="O13" s="14">
        <v>45922</v>
      </c>
      <c r="P13" s="7">
        <v>45937</v>
      </c>
      <c r="Q13" s="7">
        <v>45952</v>
      </c>
      <c r="R13" s="14">
        <f>O13+42</f>
        <v>45964</v>
      </c>
      <c r="S13" s="7">
        <v>45978</v>
      </c>
      <c r="T13" s="7">
        <v>45979</v>
      </c>
      <c r="U13" s="5">
        <v>46054</v>
      </c>
      <c r="V13" s="4"/>
      <c r="W13" s="4"/>
      <c r="X13" s="18"/>
    </row>
    <row r="14" spans="1:28" x14ac:dyDescent="0.2">
      <c r="A14" s="4" t="s">
        <v>116</v>
      </c>
      <c r="B14" s="4" t="s">
        <v>44</v>
      </c>
      <c r="C14" s="4" t="s">
        <v>9</v>
      </c>
      <c r="D14" s="4">
        <v>6</v>
      </c>
      <c r="E14" s="12">
        <v>45912</v>
      </c>
      <c r="F14" s="11">
        <v>445000</v>
      </c>
      <c r="G14" s="16" t="s">
        <v>8</v>
      </c>
      <c r="H14" s="4" t="s">
        <v>7</v>
      </c>
      <c r="I14" s="9">
        <v>45929</v>
      </c>
      <c r="J14" s="4" t="s">
        <v>7</v>
      </c>
      <c r="K14" s="8" t="s">
        <v>115</v>
      </c>
      <c r="L14" s="7">
        <v>45931</v>
      </c>
      <c r="M14" s="7">
        <v>45931</v>
      </c>
      <c r="N14" s="7">
        <v>45932</v>
      </c>
      <c r="O14" s="7">
        <v>45932</v>
      </c>
      <c r="P14" s="7">
        <v>45945</v>
      </c>
      <c r="Q14" s="7">
        <v>45951</v>
      </c>
      <c r="R14" s="14">
        <f>O14+42</f>
        <v>45974</v>
      </c>
      <c r="S14" s="7">
        <v>45994</v>
      </c>
      <c r="T14" s="7">
        <v>45996</v>
      </c>
      <c r="U14" s="5">
        <v>46054</v>
      </c>
      <c r="V14" s="4"/>
      <c r="W14" s="4"/>
      <c r="X14" s="18"/>
    </row>
    <row r="15" spans="1:28" x14ac:dyDescent="0.2">
      <c r="A15" s="4" t="s">
        <v>114</v>
      </c>
      <c r="B15" s="4" t="s">
        <v>44</v>
      </c>
      <c r="C15" s="4" t="s">
        <v>9</v>
      </c>
      <c r="D15" s="4">
        <v>6</v>
      </c>
      <c r="E15" s="12">
        <v>45912</v>
      </c>
      <c r="F15" s="11">
        <v>445000</v>
      </c>
      <c r="G15" s="24" t="s">
        <v>27</v>
      </c>
      <c r="H15" s="4"/>
      <c r="I15" s="9"/>
      <c r="J15" s="4"/>
      <c r="K15" s="8"/>
      <c r="L15" s="20"/>
      <c r="M15" s="20"/>
      <c r="N15" s="20"/>
      <c r="O15" s="23"/>
      <c r="P15" s="20"/>
      <c r="Q15" s="20"/>
      <c r="R15" s="6">
        <f>O15+42</f>
        <v>42</v>
      </c>
      <c r="S15" s="4"/>
      <c r="T15" s="4"/>
      <c r="U15" s="5">
        <v>46054</v>
      </c>
      <c r="V15" s="4"/>
      <c r="W15" s="4"/>
      <c r="X15" s="18"/>
    </row>
    <row r="16" spans="1:28" x14ac:dyDescent="0.2">
      <c r="A16" s="4" t="s">
        <v>113</v>
      </c>
      <c r="B16" s="4" t="s">
        <v>44</v>
      </c>
      <c r="C16" s="4" t="s">
        <v>3</v>
      </c>
      <c r="D16" s="4">
        <v>6</v>
      </c>
      <c r="E16" s="12">
        <v>45912</v>
      </c>
      <c r="F16" s="11">
        <v>485000</v>
      </c>
      <c r="G16" s="16" t="s">
        <v>8</v>
      </c>
      <c r="H16" s="4" t="s">
        <v>7</v>
      </c>
      <c r="I16" s="9">
        <v>45932</v>
      </c>
      <c r="J16" s="4" t="s">
        <v>7</v>
      </c>
      <c r="K16" s="8" t="s">
        <v>112</v>
      </c>
      <c r="L16" s="7">
        <v>45933</v>
      </c>
      <c r="M16" s="7">
        <v>45933</v>
      </c>
      <c r="N16" s="7">
        <v>45933</v>
      </c>
      <c r="O16" s="14">
        <v>45933</v>
      </c>
      <c r="P16" s="7">
        <v>45938</v>
      </c>
      <c r="Q16" s="15"/>
      <c r="R16" s="14">
        <f>O16+42</f>
        <v>45975</v>
      </c>
      <c r="S16" s="7">
        <v>45946</v>
      </c>
      <c r="T16" s="7">
        <v>45950</v>
      </c>
      <c r="U16" s="5">
        <v>46054</v>
      </c>
      <c r="V16" s="4"/>
      <c r="W16" s="4"/>
      <c r="X16" s="18"/>
    </row>
    <row r="17" spans="1:24" ht="16" x14ac:dyDescent="0.2">
      <c r="A17" s="4" t="s">
        <v>111</v>
      </c>
      <c r="B17" s="4" t="s">
        <v>21</v>
      </c>
      <c r="C17" s="4" t="s">
        <v>3</v>
      </c>
      <c r="D17" s="4">
        <v>6</v>
      </c>
      <c r="E17" s="12">
        <v>45912</v>
      </c>
      <c r="F17" s="11">
        <v>530000</v>
      </c>
      <c r="G17" s="10" t="s">
        <v>2</v>
      </c>
      <c r="H17" s="4" t="s">
        <v>7</v>
      </c>
      <c r="I17" s="20">
        <v>46001</v>
      </c>
      <c r="J17" s="4" t="s">
        <v>7</v>
      </c>
      <c r="K17" s="21" t="s">
        <v>110</v>
      </c>
      <c r="L17" s="7">
        <v>46006</v>
      </c>
      <c r="M17" s="7">
        <v>46006</v>
      </c>
      <c r="N17" s="7">
        <v>46006</v>
      </c>
      <c r="O17" s="7">
        <v>46006</v>
      </c>
      <c r="P17" s="4"/>
      <c r="Q17" s="4"/>
      <c r="R17" s="6">
        <f>O17+42</f>
        <v>46048</v>
      </c>
      <c r="S17" s="4"/>
      <c r="T17" s="4"/>
      <c r="U17" s="5">
        <v>46054</v>
      </c>
      <c r="V17" s="4"/>
      <c r="W17" s="4"/>
      <c r="X17" s="35" t="s">
        <v>109</v>
      </c>
    </row>
    <row r="18" spans="1:24" x14ac:dyDescent="0.2">
      <c r="A18" s="4" t="s">
        <v>108</v>
      </c>
      <c r="B18" s="4" t="s">
        <v>44</v>
      </c>
      <c r="C18" s="4" t="s">
        <v>9</v>
      </c>
      <c r="D18" s="4">
        <v>6</v>
      </c>
      <c r="E18" s="12">
        <v>45912</v>
      </c>
      <c r="F18" s="11">
        <v>445000</v>
      </c>
      <c r="G18" s="16" t="s">
        <v>8</v>
      </c>
      <c r="H18" s="4" t="s">
        <v>7</v>
      </c>
      <c r="I18" s="9">
        <v>45912</v>
      </c>
      <c r="J18" s="4" t="s">
        <v>7</v>
      </c>
      <c r="K18" s="30" t="s">
        <v>107</v>
      </c>
      <c r="L18" s="7">
        <v>45917</v>
      </c>
      <c r="M18" s="7">
        <v>45917</v>
      </c>
      <c r="N18" s="14">
        <v>45918</v>
      </c>
      <c r="O18" s="14">
        <v>45922</v>
      </c>
      <c r="P18" s="7">
        <v>45939</v>
      </c>
      <c r="Q18" s="7">
        <v>45943</v>
      </c>
      <c r="R18" s="14">
        <f>O18+42</f>
        <v>45964</v>
      </c>
      <c r="S18" s="7">
        <v>46010</v>
      </c>
      <c r="T18" s="7">
        <v>46030</v>
      </c>
      <c r="U18" s="5">
        <v>46054</v>
      </c>
      <c r="V18" s="4"/>
      <c r="W18" s="4"/>
      <c r="X18" s="19"/>
    </row>
    <row r="19" spans="1:24" x14ac:dyDescent="0.2">
      <c r="A19" s="4" t="s">
        <v>106</v>
      </c>
      <c r="B19" s="4" t="s">
        <v>44</v>
      </c>
      <c r="C19" s="4" t="s">
        <v>9</v>
      </c>
      <c r="D19" s="4">
        <v>6</v>
      </c>
      <c r="E19" s="12">
        <v>45912</v>
      </c>
      <c r="F19" s="11">
        <v>445000</v>
      </c>
      <c r="G19" s="10" t="s">
        <v>2</v>
      </c>
      <c r="H19" s="4" t="s">
        <v>7</v>
      </c>
      <c r="I19" s="9">
        <v>45967</v>
      </c>
      <c r="J19" s="4" t="s">
        <v>7</v>
      </c>
      <c r="K19" s="21" t="s">
        <v>105</v>
      </c>
      <c r="L19" s="7">
        <v>45971</v>
      </c>
      <c r="M19" s="7">
        <v>45971</v>
      </c>
      <c r="N19" s="14">
        <v>45972</v>
      </c>
      <c r="O19" s="14">
        <v>45972</v>
      </c>
      <c r="P19" s="7">
        <v>45979</v>
      </c>
      <c r="Q19" s="7">
        <v>45989</v>
      </c>
      <c r="R19" s="6">
        <f>O19+42</f>
        <v>46014</v>
      </c>
      <c r="S19" s="4"/>
      <c r="T19" s="4"/>
      <c r="U19" s="5">
        <v>46054</v>
      </c>
      <c r="V19" s="4"/>
      <c r="W19" s="4"/>
      <c r="X19" s="18" t="s">
        <v>104</v>
      </c>
    </row>
    <row r="20" spans="1:24" x14ac:dyDescent="0.2">
      <c r="A20" s="4" t="s">
        <v>103</v>
      </c>
      <c r="B20" s="4" t="s">
        <v>44</v>
      </c>
      <c r="C20" s="4" t="s">
        <v>9</v>
      </c>
      <c r="D20" s="4">
        <v>6</v>
      </c>
      <c r="E20" s="12">
        <v>45912</v>
      </c>
      <c r="F20" s="11">
        <v>445000</v>
      </c>
      <c r="G20" s="10" t="s">
        <v>2</v>
      </c>
      <c r="H20" s="4" t="s">
        <v>7</v>
      </c>
      <c r="I20" s="9"/>
      <c r="J20" s="4"/>
      <c r="K20" s="4" t="s">
        <v>102</v>
      </c>
      <c r="L20" s="4"/>
      <c r="M20" s="4"/>
      <c r="N20" s="29"/>
      <c r="O20" s="29"/>
      <c r="P20" s="4"/>
      <c r="Q20" s="4"/>
      <c r="R20" s="6">
        <f>O20+42</f>
        <v>42</v>
      </c>
      <c r="S20" s="4"/>
      <c r="T20" s="4"/>
      <c r="U20" s="5">
        <v>46054</v>
      </c>
      <c r="V20" s="4"/>
      <c r="W20" s="4"/>
      <c r="X20" s="18"/>
    </row>
    <row r="21" spans="1:24" x14ac:dyDescent="0.2">
      <c r="A21" s="4" t="s">
        <v>101</v>
      </c>
      <c r="B21" s="4" t="s">
        <v>44</v>
      </c>
      <c r="C21" s="4" t="s">
        <v>9</v>
      </c>
      <c r="D21" s="4">
        <v>6</v>
      </c>
      <c r="E21" s="12">
        <v>45912</v>
      </c>
      <c r="F21" s="11">
        <v>445000</v>
      </c>
      <c r="G21" s="10" t="s">
        <v>2</v>
      </c>
      <c r="H21" s="4" t="s">
        <v>7</v>
      </c>
      <c r="I21" s="9">
        <v>46044</v>
      </c>
      <c r="J21" s="4" t="s">
        <v>7</v>
      </c>
      <c r="K21" s="4" t="s">
        <v>100</v>
      </c>
      <c r="L21" s="7">
        <v>46043</v>
      </c>
      <c r="M21" s="7">
        <v>46043</v>
      </c>
      <c r="N21" s="7">
        <v>46044</v>
      </c>
      <c r="O21" s="29"/>
      <c r="P21" s="4"/>
      <c r="Q21" s="4"/>
      <c r="R21" s="6">
        <f>O21+42</f>
        <v>42</v>
      </c>
      <c r="S21" s="4"/>
      <c r="T21" s="4"/>
      <c r="U21" s="5">
        <v>46054</v>
      </c>
      <c r="V21" s="4"/>
      <c r="W21" s="4"/>
      <c r="X21" s="18"/>
    </row>
    <row r="22" spans="1:24" x14ac:dyDescent="0.2">
      <c r="A22" s="4" t="s">
        <v>99</v>
      </c>
      <c r="B22" s="4" t="s">
        <v>44</v>
      </c>
      <c r="C22" s="4" t="s">
        <v>9</v>
      </c>
      <c r="D22" s="4">
        <v>6</v>
      </c>
      <c r="E22" s="12">
        <v>45912</v>
      </c>
      <c r="F22" s="11">
        <v>445000</v>
      </c>
      <c r="G22" s="10" t="s">
        <v>2</v>
      </c>
      <c r="H22" s="4" t="s">
        <v>7</v>
      </c>
      <c r="I22" s="9">
        <v>46035</v>
      </c>
      <c r="J22" s="4" t="s">
        <v>7</v>
      </c>
      <c r="K22" s="4" t="s">
        <v>98</v>
      </c>
      <c r="L22" s="32">
        <v>46035</v>
      </c>
      <c r="M22" s="32">
        <v>46035</v>
      </c>
      <c r="N22" s="32">
        <v>46035</v>
      </c>
      <c r="O22" s="14">
        <v>46036</v>
      </c>
      <c r="P22" s="4"/>
      <c r="Q22" s="4"/>
      <c r="R22" s="6">
        <f>O22+42</f>
        <v>46078</v>
      </c>
      <c r="S22" s="4"/>
      <c r="T22" s="4"/>
      <c r="U22" s="5">
        <v>46054</v>
      </c>
      <c r="V22" s="4"/>
      <c r="W22" s="4"/>
      <c r="X22" s="18"/>
    </row>
    <row r="23" spans="1:24" ht="15.75" customHeight="1" x14ac:dyDescent="0.2">
      <c r="A23" s="4" t="s">
        <v>97</v>
      </c>
      <c r="B23" s="4" t="s">
        <v>44</v>
      </c>
      <c r="C23" s="4" t="s">
        <v>9</v>
      </c>
      <c r="D23" s="4">
        <v>6</v>
      </c>
      <c r="E23" s="12">
        <v>45912</v>
      </c>
      <c r="F23" s="11">
        <v>445000</v>
      </c>
      <c r="G23" s="16" t="s">
        <v>8</v>
      </c>
      <c r="H23" s="4" t="s">
        <v>7</v>
      </c>
      <c r="I23" s="9">
        <v>45950</v>
      </c>
      <c r="J23" s="4" t="s">
        <v>7</v>
      </c>
      <c r="K23" s="34" t="s">
        <v>96</v>
      </c>
      <c r="L23" s="7">
        <v>45947</v>
      </c>
      <c r="M23" s="7">
        <v>45947</v>
      </c>
      <c r="N23" s="14">
        <v>45950</v>
      </c>
      <c r="O23" s="14">
        <v>45950</v>
      </c>
      <c r="P23" s="15"/>
      <c r="Q23" s="15"/>
      <c r="R23" s="14">
        <f>O23+42</f>
        <v>45992</v>
      </c>
      <c r="S23" s="7">
        <v>45669</v>
      </c>
      <c r="T23" s="7">
        <v>45669</v>
      </c>
      <c r="U23" s="5">
        <v>46054</v>
      </c>
      <c r="V23" s="4"/>
      <c r="W23" s="4"/>
      <c r="X23" s="18"/>
    </row>
    <row r="24" spans="1:24" x14ac:dyDescent="0.2">
      <c r="A24" s="4" t="s">
        <v>95</v>
      </c>
      <c r="B24" s="4" t="s">
        <v>44</v>
      </c>
      <c r="C24" s="4" t="s">
        <v>9</v>
      </c>
      <c r="D24" s="4">
        <v>6</v>
      </c>
      <c r="E24" s="12">
        <v>45912</v>
      </c>
      <c r="F24" s="11">
        <v>445000</v>
      </c>
      <c r="G24" s="16" t="s">
        <v>8</v>
      </c>
      <c r="H24" s="4" t="s">
        <v>7</v>
      </c>
      <c r="I24" s="9">
        <v>46003</v>
      </c>
      <c r="J24" s="4" t="s">
        <v>7</v>
      </c>
      <c r="K24" s="33" t="s">
        <v>94</v>
      </c>
      <c r="L24" s="7">
        <v>46001</v>
      </c>
      <c r="M24" s="7">
        <v>46002</v>
      </c>
      <c r="N24" s="7">
        <v>46003</v>
      </c>
      <c r="O24" s="7">
        <v>46003</v>
      </c>
      <c r="P24" s="15"/>
      <c r="Q24" s="15"/>
      <c r="R24" s="14">
        <f>O24+42</f>
        <v>46045</v>
      </c>
      <c r="S24" s="7">
        <v>45669</v>
      </c>
      <c r="T24" s="7">
        <v>45669</v>
      </c>
      <c r="U24" s="5">
        <v>46054</v>
      </c>
      <c r="V24" s="4"/>
      <c r="W24" s="4"/>
      <c r="X24" s="18"/>
    </row>
    <row r="25" spans="1:24" x14ac:dyDescent="0.2">
      <c r="A25" s="4" t="s">
        <v>93</v>
      </c>
      <c r="B25" s="4" t="s">
        <v>44</v>
      </c>
      <c r="C25" s="4" t="s">
        <v>9</v>
      </c>
      <c r="D25" s="4">
        <v>6</v>
      </c>
      <c r="E25" s="12">
        <v>45912</v>
      </c>
      <c r="F25" s="11">
        <v>445000</v>
      </c>
      <c r="G25" s="10" t="s">
        <v>2</v>
      </c>
      <c r="H25" s="4" t="s">
        <v>7</v>
      </c>
      <c r="I25" s="9">
        <v>45662</v>
      </c>
      <c r="J25" s="4" t="s">
        <v>7</v>
      </c>
      <c r="K25" s="4" t="s">
        <v>92</v>
      </c>
      <c r="L25" s="32">
        <v>46009</v>
      </c>
      <c r="M25" s="32">
        <v>46010</v>
      </c>
      <c r="N25" s="32">
        <v>46010</v>
      </c>
      <c r="O25" s="14">
        <v>46013</v>
      </c>
      <c r="P25" s="4"/>
      <c r="Q25" s="4"/>
      <c r="R25" s="6">
        <f>O25+42</f>
        <v>46055</v>
      </c>
      <c r="S25" s="4"/>
      <c r="T25" s="4"/>
      <c r="U25" s="5">
        <v>46054</v>
      </c>
      <c r="V25" s="4"/>
      <c r="W25" s="4"/>
      <c r="X25" s="18"/>
    </row>
    <row r="26" spans="1:24" x14ac:dyDescent="0.2">
      <c r="A26" s="4" t="s">
        <v>91</v>
      </c>
      <c r="B26" s="4" t="s">
        <v>44</v>
      </c>
      <c r="C26" s="4" t="s">
        <v>9</v>
      </c>
      <c r="D26" s="4">
        <v>6</v>
      </c>
      <c r="E26" s="12">
        <v>45912</v>
      </c>
      <c r="F26" s="11">
        <v>445000</v>
      </c>
      <c r="G26" s="10" t="s">
        <v>2</v>
      </c>
      <c r="H26" s="4"/>
      <c r="I26" s="9"/>
      <c r="J26" s="4"/>
      <c r="K26" s="31" t="s">
        <v>90</v>
      </c>
      <c r="L26" s="7">
        <v>45950</v>
      </c>
      <c r="M26" s="7">
        <v>45950</v>
      </c>
      <c r="N26" s="14">
        <v>45958</v>
      </c>
      <c r="O26" s="14">
        <v>45958</v>
      </c>
      <c r="P26" s="4"/>
      <c r="Q26" s="4"/>
      <c r="R26" s="6">
        <f>O26+42</f>
        <v>46000</v>
      </c>
      <c r="S26" s="4"/>
      <c r="T26" s="4"/>
      <c r="U26" s="5">
        <v>46054</v>
      </c>
      <c r="V26" s="4"/>
      <c r="W26" s="4"/>
      <c r="X26" s="3" t="s">
        <v>89</v>
      </c>
    </row>
    <row r="27" spans="1:24" x14ac:dyDescent="0.2">
      <c r="A27" s="4" t="s">
        <v>88</v>
      </c>
      <c r="B27" s="4" t="s">
        <v>44</v>
      </c>
      <c r="C27" s="4" t="s">
        <v>9</v>
      </c>
      <c r="D27" s="4">
        <v>6</v>
      </c>
      <c r="E27" s="12">
        <v>45912</v>
      </c>
      <c r="F27" s="11">
        <v>445000</v>
      </c>
      <c r="G27" s="10" t="s">
        <v>2</v>
      </c>
      <c r="H27" s="4" t="s">
        <v>87</v>
      </c>
      <c r="I27" s="9">
        <v>45666</v>
      </c>
      <c r="J27" s="4" t="s">
        <v>7</v>
      </c>
      <c r="K27" s="21" t="s">
        <v>86</v>
      </c>
      <c r="L27" s="7">
        <v>45666</v>
      </c>
      <c r="M27" s="7">
        <v>45666</v>
      </c>
      <c r="N27" s="14">
        <v>46034</v>
      </c>
      <c r="O27" s="14">
        <v>46034</v>
      </c>
      <c r="P27" s="4"/>
      <c r="Q27" s="4"/>
      <c r="R27" s="6">
        <f>O27+42</f>
        <v>46076</v>
      </c>
      <c r="S27" s="4"/>
      <c r="T27" s="4"/>
      <c r="U27" s="5">
        <v>46054</v>
      </c>
      <c r="V27" s="4"/>
      <c r="W27" s="4"/>
      <c r="X27" s="18"/>
    </row>
    <row r="28" spans="1:24" x14ac:dyDescent="0.2">
      <c r="A28" s="4" t="s">
        <v>85</v>
      </c>
      <c r="B28" s="4" t="s">
        <v>84</v>
      </c>
      <c r="C28" s="4" t="s">
        <v>9</v>
      </c>
      <c r="D28" s="4">
        <v>6</v>
      </c>
      <c r="E28" s="12">
        <v>45912</v>
      </c>
      <c r="F28" s="11">
        <v>430000</v>
      </c>
      <c r="G28" s="16" t="s">
        <v>8</v>
      </c>
      <c r="H28" s="4" t="s">
        <v>7</v>
      </c>
      <c r="I28" s="9">
        <v>45965</v>
      </c>
      <c r="J28" s="4" t="s">
        <v>7</v>
      </c>
      <c r="K28" s="4" t="s">
        <v>83</v>
      </c>
      <c r="L28" s="7">
        <v>45964</v>
      </c>
      <c r="M28" s="7">
        <v>45964</v>
      </c>
      <c r="N28" s="14">
        <v>45965</v>
      </c>
      <c r="O28" s="14">
        <v>45965</v>
      </c>
      <c r="P28" s="7">
        <v>45975</v>
      </c>
      <c r="Q28" s="7">
        <v>45980</v>
      </c>
      <c r="R28" s="14">
        <f>O28+42</f>
        <v>46007</v>
      </c>
      <c r="S28" s="7">
        <v>46000</v>
      </c>
      <c r="T28" s="7">
        <v>46001</v>
      </c>
      <c r="U28" s="5">
        <v>46054</v>
      </c>
      <c r="V28" s="4"/>
      <c r="W28" s="4"/>
      <c r="X28" s="18"/>
    </row>
    <row r="29" spans="1:24" x14ac:dyDescent="0.2">
      <c r="A29" s="4" t="s">
        <v>82</v>
      </c>
      <c r="B29" s="4" t="s">
        <v>4</v>
      </c>
      <c r="C29" s="4" t="s">
        <v>12</v>
      </c>
      <c r="D29" s="4">
        <v>6</v>
      </c>
      <c r="E29" s="12">
        <v>45912</v>
      </c>
      <c r="F29" s="11">
        <v>335000</v>
      </c>
      <c r="G29" s="16" t="s">
        <v>8</v>
      </c>
      <c r="H29" s="4" t="s">
        <v>7</v>
      </c>
      <c r="I29" s="9">
        <v>45912</v>
      </c>
      <c r="J29" s="4" t="s">
        <v>7</v>
      </c>
      <c r="K29" s="30" t="s">
        <v>81</v>
      </c>
      <c r="L29" s="14">
        <v>45915</v>
      </c>
      <c r="M29" s="14">
        <v>45915</v>
      </c>
      <c r="N29" s="14">
        <v>45915</v>
      </c>
      <c r="O29" s="14">
        <v>45919</v>
      </c>
      <c r="P29" s="7">
        <v>45929</v>
      </c>
      <c r="Q29" s="7">
        <v>45944</v>
      </c>
      <c r="R29" s="14">
        <f>O29+42</f>
        <v>45961</v>
      </c>
      <c r="S29" s="7">
        <v>45954</v>
      </c>
      <c r="T29" s="7">
        <v>45959</v>
      </c>
      <c r="U29" s="5">
        <v>46054</v>
      </c>
      <c r="V29" s="4"/>
      <c r="W29" s="4"/>
      <c r="X29" s="18"/>
    </row>
    <row r="30" spans="1:24" x14ac:dyDescent="0.2">
      <c r="A30" s="4" t="s">
        <v>80</v>
      </c>
      <c r="B30" s="4" t="s">
        <v>4</v>
      </c>
      <c r="C30" s="4" t="s">
        <v>12</v>
      </c>
      <c r="D30" s="4">
        <v>6</v>
      </c>
      <c r="E30" s="12">
        <v>45912</v>
      </c>
      <c r="F30" s="11">
        <v>335000</v>
      </c>
      <c r="G30" s="16" t="s">
        <v>8</v>
      </c>
      <c r="H30" s="4" t="s">
        <v>7</v>
      </c>
      <c r="I30" s="9">
        <v>45953</v>
      </c>
      <c r="J30" s="4" t="s">
        <v>7</v>
      </c>
      <c r="K30" s="8" t="s">
        <v>79</v>
      </c>
      <c r="L30" s="7">
        <v>45953</v>
      </c>
      <c r="M30" s="7">
        <v>45953</v>
      </c>
      <c r="N30" s="14">
        <v>45953</v>
      </c>
      <c r="O30" s="14">
        <v>45958</v>
      </c>
      <c r="P30" s="7">
        <v>45971</v>
      </c>
      <c r="Q30" s="7">
        <v>45980</v>
      </c>
      <c r="R30" s="14">
        <f>O30+42</f>
        <v>46000</v>
      </c>
      <c r="S30" s="7">
        <v>45988</v>
      </c>
      <c r="T30" s="7">
        <v>45989</v>
      </c>
      <c r="U30" s="5">
        <v>46054</v>
      </c>
      <c r="V30" s="4"/>
      <c r="W30" s="4"/>
      <c r="X30" s="18"/>
    </row>
    <row r="31" spans="1:24" x14ac:dyDescent="0.2">
      <c r="A31" s="4" t="s">
        <v>78</v>
      </c>
      <c r="B31" s="4" t="s">
        <v>4</v>
      </c>
      <c r="C31" s="4" t="s">
        <v>9</v>
      </c>
      <c r="D31" s="4">
        <v>6</v>
      </c>
      <c r="E31" s="12">
        <v>45912</v>
      </c>
      <c r="F31" s="11">
        <v>430000</v>
      </c>
      <c r="G31" s="24" t="s">
        <v>27</v>
      </c>
      <c r="H31" s="4"/>
      <c r="I31" s="9"/>
      <c r="J31" s="4"/>
      <c r="K31" s="8"/>
      <c r="L31" s="4"/>
      <c r="M31" s="4"/>
      <c r="N31" s="29"/>
      <c r="O31" s="29"/>
      <c r="P31" s="4"/>
      <c r="Q31" s="4"/>
      <c r="R31" s="6">
        <f>O31+42</f>
        <v>42</v>
      </c>
      <c r="S31" s="4"/>
      <c r="T31" s="4"/>
      <c r="U31" s="5">
        <v>46054</v>
      </c>
      <c r="V31" s="4"/>
      <c r="W31" s="4"/>
      <c r="X31" s="18"/>
    </row>
    <row r="32" spans="1:24" x14ac:dyDescent="0.2">
      <c r="A32" s="4" t="s">
        <v>77</v>
      </c>
      <c r="B32" s="4" t="s">
        <v>44</v>
      </c>
      <c r="C32" s="4" t="s">
        <v>9</v>
      </c>
      <c r="D32" s="4">
        <v>6</v>
      </c>
      <c r="E32" s="12">
        <v>45912</v>
      </c>
      <c r="F32" s="11">
        <v>445000</v>
      </c>
      <c r="G32" s="16" t="s">
        <v>8</v>
      </c>
      <c r="H32" s="4" t="s">
        <v>7</v>
      </c>
      <c r="I32" s="9">
        <v>45912</v>
      </c>
      <c r="J32" s="4"/>
      <c r="K32" s="4" t="s">
        <v>76</v>
      </c>
      <c r="L32" s="14">
        <v>45915</v>
      </c>
      <c r="M32" s="14">
        <v>45915</v>
      </c>
      <c r="N32" s="14">
        <v>45915</v>
      </c>
      <c r="O32" s="14">
        <v>45922</v>
      </c>
      <c r="P32" s="7">
        <v>45925</v>
      </c>
      <c r="Q32" s="7">
        <v>45940</v>
      </c>
      <c r="R32" s="14">
        <f>O32+42</f>
        <v>45964</v>
      </c>
      <c r="S32" s="7">
        <v>45966</v>
      </c>
      <c r="T32" s="7">
        <v>45974</v>
      </c>
      <c r="U32" s="5">
        <v>46054</v>
      </c>
      <c r="V32" s="4"/>
      <c r="W32" s="4"/>
      <c r="X32" s="3"/>
    </row>
    <row r="33" spans="1:24" x14ac:dyDescent="0.2">
      <c r="A33" s="4" t="s">
        <v>75</v>
      </c>
      <c r="B33" s="4" t="s">
        <v>44</v>
      </c>
      <c r="C33" s="4" t="s">
        <v>9</v>
      </c>
      <c r="D33" s="4">
        <v>6</v>
      </c>
      <c r="E33" s="12">
        <v>45912</v>
      </c>
      <c r="F33" s="11">
        <v>445000</v>
      </c>
      <c r="G33" s="16" t="s">
        <v>8</v>
      </c>
      <c r="H33" s="4" t="s">
        <v>7</v>
      </c>
      <c r="I33" s="9">
        <v>45912</v>
      </c>
      <c r="J33" s="4" t="s">
        <v>7</v>
      </c>
      <c r="K33" s="4" t="s">
        <v>74</v>
      </c>
      <c r="L33" s="14">
        <v>45912</v>
      </c>
      <c r="M33" s="14">
        <v>45912</v>
      </c>
      <c r="N33" s="14">
        <v>45912</v>
      </c>
      <c r="O33" s="14">
        <v>45919</v>
      </c>
      <c r="P33" s="7">
        <v>45940</v>
      </c>
      <c r="Q33" s="7">
        <v>45945</v>
      </c>
      <c r="R33" s="14">
        <f>O33+42</f>
        <v>45961</v>
      </c>
      <c r="S33" s="7">
        <v>45961</v>
      </c>
      <c r="T33" s="7">
        <v>45965</v>
      </c>
      <c r="U33" s="5">
        <v>46054</v>
      </c>
      <c r="V33" s="4"/>
      <c r="W33" s="4"/>
      <c r="X33" s="18"/>
    </row>
    <row r="34" spans="1:24" x14ac:dyDescent="0.2">
      <c r="A34" s="4" t="s">
        <v>73</v>
      </c>
      <c r="B34" s="4" t="s">
        <v>4</v>
      </c>
      <c r="C34" s="4" t="s">
        <v>3</v>
      </c>
      <c r="D34" s="4">
        <v>7</v>
      </c>
      <c r="E34" s="12">
        <v>45978</v>
      </c>
      <c r="F34" s="11">
        <v>480000</v>
      </c>
      <c r="G34" s="10" t="s">
        <v>2</v>
      </c>
      <c r="H34" s="21" t="s">
        <v>7</v>
      </c>
      <c r="I34" s="22">
        <v>46000</v>
      </c>
      <c r="J34" s="4" t="s">
        <v>7</v>
      </c>
      <c r="K34" s="4" t="s">
        <v>72</v>
      </c>
      <c r="L34" s="14">
        <v>46002</v>
      </c>
      <c r="M34" s="14">
        <v>46003</v>
      </c>
      <c r="N34" s="14">
        <v>46003</v>
      </c>
      <c r="O34" s="14">
        <v>46003</v>
      </c>
      <c r="P34" s="20"/>
      <c r="Q34" s="20"/>
      <c r="R34" s="6">
        <f>O34+42</f>
        <v>46045</v>
      </c>
      <c r="S34" s="20"/>
      <c r="T34" s="20"/>
      <c r="U34" s="5">
        <v>46082</v>
      </c>
      <c r="V34" s="4"/>
      <c r="W34" s="4"/>
      <c r="X34" s="18"/>
    </row>
    <row r="35" spans="1:24" x14ac:dyDescent="0.2">
      <c r="A35" s="4" t="s">
        <v>71</v>
      </c>
      <c r="B35" s="4" t="s">
        <v>4</v>
      </c>
      <c r="C35" s="4" t="s">
        <v>12</v>
      </c>
      <c r="D35" s="4">
        <v>7</v>
      </c>
      <c r="E35" s="12">
        <v>45978</v>
      </c>
      <c r="F35" s="11">
        <v>335000</v>
      </c>
      <c r="G35" s="16" t="s">
        <v>8</v>
      </c>
      <c r="H35" s="21" t="s">
        <v>7</v>
      </c>
      <c r="I35" s="22">
        <v>45982</v>
      </c>
      <c r="J35" s="21" t="s">
        <v>7</v>
      </c>
      <c r="K35" s="4" t="s">
        <v>70</v>
      </c>
      <c r="L35" s="14">
        <v>45986</v>
      </c>
      <c r="M35" s="14">
        <v>45986</v>
      </c>
      <c r="N35" s="14">
        <v>45986</v>
      </c>
      <c r="O35" s="14">
        <v>45986</v>
      </c>
      <c r="P35" s="7">
        <v>45988</v>
      </c>
      <c r="Q35" s="7">
        <v>45989</v>
      </c>
      <c r="R35" s="14">
        <f>O35+42</f>
        <v>46028</v>
      </c>
      <c r="S35" s="7">
        <v>45666</v>
      </c>
      <c r="T35" s="7">
        <v>45666</v>
      </c>
      <c r="U35" s="5">
        <v>46082</v>
      </c>
      <c r="V35" s="4"/>
      <c r="W35" s="4"/>
      <c r="X35" s="3" t="s">
        <v>69</v>
      </c>
    </row>
    <row r="36" spans="1:24" x14ac:dyDescent="0.2">
      <c r="A36" s="4" t="s">
        <v>68</v>
      </c>
      <c r="B36" s="4" t="s">
        <v>4</v>
      </c>
      <c r="C36" s="4" t="s">
        <v>12</v>
      </c>
      <c r="D36" s="4">
        <v>7</v>
      </c>
      <c r="E36" s="12">
        <v>45978</v>
      </c>
      <c r="F36" s="11">
        <v>335000</v>
      </c>
      <c r="G36" s="10" t="s">
        <v>2</v>
      </c>
      <c r="H36" s="21" t="s">
        <v>7</v>
      </c>
      <c r="I36" s="22">
        <v>45985</v>
      </c>
      <c r="J36" s="21" t="s">
        <v>7</v>
      </c>
      <c r="K36" s="4" t="s">
        <v>67</v>
      </c>
      <c r="L36" s="14">
        <v>46006</v>
      </c>
      <c r="M36" s="14">
        <v>46006</v>
      </c>
      <c r="N36" s="14">
        <v>46006</v>
      </c>
      <c r="O36" s="14">
        <v>46007</v>
      </c>
      <c r="P36" s="20"/>
      <c r="Q36" s="20"/>
      <c r="R36" s="6" t="e">
        <f>#REF!+42</f>
        <v>#REF!</v>
      </c>
      <c r="S36" s="20"/>
      <c r="T36" s="20"/>
      <c r="U36" s="5">
        <v>46082</v>
      </c>
      <c r="V36" s="4"/>
      <c r="W36" s="4"/>
      <c r="X36" s="18"/>
    </row>
    <row r="37" spans="1:24" x14ac:dyDescent="0.2">
      <c r="A37" s="4" t="s">
        <v>66</v>
      </c>
      <c r="B37" s="4" t="s">
        <v>4</v>
      </c>
      <c r="C37" s="4" t="s">
        <v>9</v>
      </c>
      <c r="D37" s="4">
        <v>7</v>
      </c>
      <c r="E37" s="12">
        <v>45978</v>
      </c>
      <c r="F37" s="11">
        <v>430000</v>
      </c>
      <c r="G37" s="24" t="s">
        <v>27</v>
      </c>
      <c r="H37" s="21"/>
      <c r="I37" s="22"/>
      <c r="J37" s="21"/>
      <c r="K37" s="21"/>
      <c r="L37" s="23"/>
      <c r="M37" s="23"/>
      <c r="N37" s="23"/>
      <c r="P37" s="20"/>
      <c r="Q37" s="20"/>
      <c r="R37" s="6">
        <f>O36+42</f>
        <v>46049</v>
      </c>
      <c r="S37" s="20"/>
      <c r="T37" s="20"/>
      <c r="U37" s="5">
        <v>46082</v>
      </c>
      <c r="V37" s="4"/>
      <c r="W37" s="4"/>
      <c r="X37" s="18"/>
    </row>
    <row r="38" spans="1:24" x14ac:dyDescent="0.2">
      <c r="A38" s="4" t="s">
        <v>65</v>
      </c>
      <c r="B38" s="4" t="s">
        <v>4</v>
      </c>
      <c r="C38" s="4" t="s">
        <v>9</v>
      </c>
      <c r="D38" s="4">
        <v>7</v>
      </c>
      <c r="E38" s="12">
        <v>45978</v>
      </c>
      <c r="F38" s="11">
        <v>430000</v>
      </c>
      <c r="G38" s="24" t="s">
        <v>27</v>
      </c>
      <c r="H38" s="21"/>
      <c r="I38" s="22"/>
      <c r="J38" s="21"/>
      <c r="K38" s="21"/>
      <c r="L38" s="23"/>
      <c r="M38" s="23"/>
      <c r="N38" s="23"/>
      <c r="O38" s="23"/>
      <c r="P38" s="20"/>
      <c r="Q38" s="20"/>
      <c r="R38" s="6">
        <f>O38+42</f>
        <v>42</v>
      </c>
      <c r="S38" s="20"/>
      <c r="T38" s="20"/>
      <c r="U38" s="5">
        <v>46082</v>
      </c>
      <c r="V38" s="4"/>
      <c r="W38" s="4"/>
      <c r="X38" s="18"/>
    </row>
    <row r="39" spans="1:24" x14ac:dyDescent="0.2">
      <c r="A39" s="4" t="s">
        <v>64</v>
      </c>
      <c r="B39" s="4" t="s">
        <v>4</v>
      </c>
      <c r="C39" s="4" t="s">
        <v>12</v>
      </c>
      <c r="D39" s="4">
        <v>7</v>
      </c>
      <c r="E39" s="12">
        <v>45978</v>
      </c>
      <c r="F39" s="11">
        <v>335000</v>
      </c>
      <c r="G39" s="10" t="s">
        <v>2</v>
      </c>
      <c r="H39" s="21" t="s">
        <v>7</v>
      </c>
      <c r="I39" s="22">
        <v>45985</v>
      </c>
      <c r="J39" s="21" t="s">
        <v>7</v>
      </c>
      <c r="K39" s="28" t="s">
        <v>63</v>
      </c>
      <c r="L39" s="14">
        <v>45989</v>
      </c>
      <c r="M39" s="14">
        <v>45989</v>
      </c>
      <c r="N39" s="14">
        <v>45990</v>
      </c>
      <c r="O39" s="14">
        <v>45999</v>
      </c>
      <c r="P39" s="20"/>
      <c r="Q39" s="20"/>
      <c r="R39" s="6">
        <f>O39+42</f>
        <v>46041</v>
      </c>
      <c r="S39" s="20"/>
      <c r="T39" s="20"/>
      <c r="U39" s="5">
        <v>46082</v>
      </c>
      <c r="V39" s="4"/>
      <c r="W39" s="4"/>
      <c r="X39" s="18"/>
    </row>
    <row r="40" spans="1:24" x14ac:dyDescent="0.2">
      <c r="A40" s="4" t="s">
        <v>62</v>
      </c>
      <c r="B40" s="4" t="s">
        <v>4</v>
      </c>
      <c r="C40" s="4" t="s">
        <v>12</v>
      </c>
      <c r="D40" s="4">
        <v>7</v>
      </c>
      <c r="E40" s="12">
        <v>45978</v>
      </c>
      <c r="F40" s="11">
        <v>335000</v>
      </c>
      <c r="G40" s="16" t="s">
        <v>8</v>
      </c>
      <c r="H40" s="21" t="s">
        <v>7</v>
      </c>
      <c r="I40" s="22">
        <v>45985</v>
      </c>
      <c r="J40" s="21" t="s">
        <v>7</v>
      </c>
      <c r="K40" s="4" t="s">
        <v>61</v>
      </c>
      <c r="L40" s="14">
        <v>45990</v>
      </c>
      <c r="M40" s="27">
        <v>45992</v>
      </c>
      <c r="N40" s="27">
        <v>45992</v>
      </c>
      <c r="O40" s="7">
        <v>45993</v>
      </c>
      <c r="P40" s="7"/>
      <c r="Q40" s="7"/>
      <c r="R40" s="14">
        <f>O40+42</f>
        <v>46035</v>
      </c>
      <c r="S40" s="7">
        <v>46036</v>
      </c>
      <c r="T40" s="7">
        <v>46036</v>
      </c>
      <c r="U40" s="5">
        <v>46082</v>
      </c>
      <c r="V40" s="4"/>
      <c r="W40" s="4"/>
      <c r="X40" s="18"/>
    </row>
    <row r="41" spans="1:24" x14ac:dyDescent="0.2">
      <c r="A41" s="4" t="s">
        <v>60</v>
      </c>
      <c r="B41" s="4" t="s">
        <v>4</v>
      </c>
      <c r="C41" s="4" t="s">
        <v>9</v>
      </c>
      <c r="D41" s="4">
        <v>7</v>
      </c>
      <c r="E41" s="12">
        <v>45978</v>
      </c>
      <c r="F41" s="11">
        <v>415000</v>
      </c>
      <c r="G41" s="10" t="s">
        <v>2</v>
      </c>
      <c r="H41" s="21" t="s">
        <v>7</v>
      </c>
      <c r="I41" s="22">
        <v>45987</v>
      </c>
      <c r="J41" s="21" t="s">
        <v>7</v>
      </c>
      <c r="K41" s="4" t="s">
        <v>59</v>
      </c>
      <c r="L41" s="27">
        <v>45992</v>
      </c>
      <c r="M41" s="27">
        <v>45992</v>
      </c>
      <c r="N41" s="27">
        <v>45992</v>
      </c>
      <c r="O41" s="7">
        <v>45993</v>
      </c>
      <c r="P41" s="7">
        <v>46030</v>
      </c>
      <c r="Q41" s="20"/>
      <c r="R41" s="6">
        <f>O41+42</f>
        <v>46035</v>
      </c>
      <c r="S41" s="20"/>
      <c r="T41" s="20"/>
      <c r="U41" s="5">
        <v>46082</v>
      </c>
      <c r="V41" s="4"/>
      <c r="W41" s="4"/>
      <c r="X41" s="18" t="s">
        <v>58</v>
      </c>
    </row>
    <row r="42" spans="1:24" x14ac:dyDescent="0.2">
      <c r="A42" s="4" t="s">
        <v>57</v>
      </c>
      <c r="B42" s="4" t="s">
        <v>4</v>
      </c>
      <c r="C42" s="4" t="s">
        <v>9</v>
      </c>
      <c r="D42" s="4">
        <v>7</v>
      </c>
      <c r="E42" s="12">
        <v>45978</v>
      </c>
      <c r="F42" s="11">
        <v>430000</v>
      </c>
      <c r="G42" s="24" t="s">
        <v>27</v>
      </c>
      <c r="H42" s="21"/>
      <c r="I42" s="22"/>
      <c r="J42" s="21"/>
      <c r="K42" s="21"/>
      <c r="L42" s="23"/>
      <c r="M42" s="23"/>
      <c r="N42" s="23"/>
      <c r="O42" s="23"/>
      <c r="P42" s="20"/>
      <c r="Q42" s="20"/>
      <c r="R42" s="6">
        <f>O42+42</f>
        <v>42</v>
      </c>
      <c r="S42" s="20"/>
      <c r="T42" s="20"/>
      <c r="U42" s="5">
        <v>46082</v>
      </c>
      <c r="V42" s="4"/>
      <c r="W42" s="4"/>
      <c r="X42" s="18"/>
    </row>
    <row r="43" spans="1:24" x14ac:dyDescent="0.2">
      <c r="A43" s="4" t="s">
        <v>56</v>
      </c>
      <c r="B43" s="4" t="s">
        <v>4</v>
      </c>
      <c r="C43" s="4" t="s">
        <v>9</v>
      </c>
      <c r="D43" s="4">
        <v>7</v>
      </c>
      <c r="E43" s="12">
        <v>45978</v>
      </c>
      <c r="F43" s="11">
        <v>430000</v>
      </c>
      <c r="G43" s="24" t="s">
        <v>27</v>
      </c>
      <c r="H43" s="21"/>
      <c r="I43" s="22"/>
      <c r="J43" s="21"/>
      <c r="L43" s="23"/>
      <c r="M43" s="23"/>
      <c r="N43" s="23"/>
      <c r="O43" s="23"/>
      <c r="P43" s="20"/>
      <c r="Q43" s="20"/>
      <c r="R43" s="6">
        <f>O43+42</f>
        <v>42</v>
      </c>
      <c r="S43" s="20"/>
      <c r="T43" s="20"/>
      <c r="U43" s="5">
        <v>46082</v>
      </c>
      <c r="V43" s="4"/>
      <c r="W43" s="4"/>
      <c r="X43" s="18"/>
    </row>
    <row r="44" spans="1:24" x14ac:dyDescent="0.2">
      <c r="A44" s="4" t="s">
        <v>55</v>
      </c>
      <c r="B44" s="4" t="s">
        <v>4</v>
      </c>
      <c r="C44" s="4" t="s">
        <v>9</v>
      </c>
      <c r="D44" s="4">
        <v>7</v>
      </c>
      <c r="E44" s="12">
        <v>45978</v>
      </c>
      <c r="F44" s="11">
        <v>415000</v>
      </c>
      <c r="G44" s="24" t="s">
        <v>27</v>
      </c>
      <c r="H44" s="21"/>
      <c r="I44" s="22"/>
      <c r="J44" s="21"/>
      <c r="K44" s="21"/>
      <c r="L44" s="23"/>
      <c r="M44" s="23"/>
      <c r="N44" s="23"/>
      <c r="O44" s="23"/>
      <c r="P44" s="20"/>
      <c r="Q44" s="20"/>
      <c r="R44" s="6">
        <f>O44+42</f>
        <v>42</v>
      </c>
      <c r="S44" s="20"/>
      <c r="T44" s="20"/>
      <c r="U44" s="5">
        <v>46082</v>
      </c>
      <c r="V44" s="4"/>
      <c r="W44" s="4"/>
      <c r="X44" s="18"/>
    </row>
    <row r="45" spans="1:24" x14ac:dyDescent="0.2">
      <c r="A45" s="4" t="s">
        <v>54</v>
      </c>
      <c r="B45" s="4" t="s">
        <v>4</v>
      </c>
      <c r="C45" s="4" t="s">
        <v>12</v>
      </c>
      <c r="D45" s="4">
        <v>7</v>
      </c>
      <c r="E45" s="12">
        <v>45978</v>
      </c>
      <c r="F45" s="11">
        <v>335000</v>
      </c>
      <c r="G45" s="16" t="s">
        <v>8</v>
      </c>
      <c r="H45" s="21"/>
      <c r="I45" s="22">
        <v>45982</v>
      </c>
      <c r="J45" s="4" t="s">
        <v>7</v>
      </c>
      <c r="K45" s="25" t="s">
        <v>53</v>
      </c>
      <c r="L45" s="14">
        <v>45985</v>
      </c>
      <c r="M45" s="14">
        <v>45985</v>
      </c>
      <c r="N45" s="14">
        <v>45986</v>
      </c>
      <c r="O45" s="26">
        <v>45988</v>
      </c>
      <c r="P45" s="7">
        <v>45996</v>
      </c>
      <c r="Q45" s="7">
        <v>46002</v>
      </c>
      <c r="R45" s="14">
        <f>O45+42</f>
        <v>46030</v>
      </c>
      <c r="S45" s="7">
        <v>46035</v>
      </c>
      <c r="T45" s="7">
        <v>46035</v>
      </c>
      <c r="U45" s="5">
        <v>46082</v>
      </c>
      <c r="V45" s="4"/>
      <c r="W45" s="4"/>
      <c r="X45" s="18" t="s">
        <v>52</v>
      </c>
    </row>
    <row r="46" spans="1:24" x14ac:dyDescent="0.2">
      <c r="A46" s="4" t="s">
        <v>51</v>
      </c>
      <c r="B46" s="4" t="s">
        <v>4</v>
      </c>
      <c r="C46" s="4" t="s">
        <v>12</v>
      </c>
      <c r="D46" s="4">
        <v>7</v>
      </c>
      <c r="E46" s="12">
        <v>45978</v>
      </c>
      <c r="F46" s="11">
        <v>335000</v>
      </c>
      <c r="G46" s="10" t="s">
        <v>2</v>
      </c>
      <c r="H46" s="21"/>
      <c r="I46" s="22">
        <v>45982</v>
      </c>
      <c r="J46" s="4" t="s">
        <v>7</v>
      </c>
      <c r="K46" s="8" t="s">
        <v>50</v>
      </c>
      <c r="L46" s="14">
        <v>45987</v>
      </c>
      <c r="M46" s="14">
        <v>45987</v>
      </c>
      <c r="N46" s="14">
        <v>45987</v>
      </c>
      <c r="O46" s="26">
        <v>45988</v>
      </c>
      <c r="P46" s="7">
        <v>45994</v>
      </c>
      <c r="Q46" s="7">
        <v>46001</v>
      </c>
      <c r="R46" s="6">
        <f>O46+42</f>
        <v>46030</v>
      </c>
      <c r="S46" s="20"/>
      <c r="T46" s="20"/>
      <c r="U46" s="5">
        <v>46082</v>
      </c>
      <c r="V46" s="4"/>
      <c r="W46" s="4"/>
      <c r="X46" s="18"/>
    </row>
    <row r="47" spans="1:24" x14ac:dyDescent="0.2">
      <c r="A47" s="4" t="s">
        <v>49</v>
      </c>
      <c r="B47" s="4" t="s">
        <v>4</v>
      </c>
      <c r="C47" s="4" t="s">
        <v>9</v>
      </c>
      <c r="D47" s="4">
        <v>7</v>
      </c>
      <c r="E47" s="12">
        <v>45978</v>
      </c>
      <c r="F47" s="11">
        <v>415000</v>
      </c>
      <c r="G47" s="24" t="s">
        <v>27</v>
      </c>
      <c r="H47" s="21"/>
      <c r="I47" s="22"/>
      <c r="J47" s="21"/>
      <c r="K47" s="21"/>
      <c r="L47" s="23"/>
      <c r="M47" s="23"/>
      <c r="N47" s="23"/>
      <c r="P47" s="21"/>
      <c r="Q47" s="20"/>
      <c r="R47" s="6">
        <f>O47+42</f>
        <v>42</v>
      </c>
      <c r="S47" s="20"/>
      <c r="T47" s="20"/>
      <c r="U47" s="5">
        <v>46082</v>
      </c>
      <c r="V47" s="4"/>
      <c r="W47" s="4"/>
      <c r="X47" s="18"/>
    </row>
    <row r="48" spans="1:24" x14ac:dyDescent="0.2">
      <c r="A48" s="4" t="s">
        <v>48</v>
      </c>
      <c r="B48" s="4" t="s">
        <v>4</v>
      </c>
      <c r="C48" s="4" t="s">
        <v>9</v>
      </c>
      <c r="D48" s="4">
        <v>7</v>
      </c>
      <c r="E48" s="12">
        <v>45978</v>
      </c>
      <c r="F48" s="11">
        <v>430000</v>
      </c>
      <c r="G48" s="10" t="s">
        <v>2</v>
      </c>
      <c r="H48" s="21" t="s">
        <v>7</v>
      </c>
      <c r="I48" s="22">
        <v>46034</v>
      </c>
      <c r="J48" s="21" t="s">
        <v>7</v>
      </c>
      <c r="K48" s="21" t="s">
        <v>47</v>
      </c>
      <c r="L48" s="23"/>
      <c r="M48" s="23"/>
      <c r="N48" s="23"/>
      <c r="O48" s="23"/>
      <c r="P48" s="20"/>
      <c r="Q48" s="20"/>
      <c r="R48" s="6">
        <f>O48+42</f>
        <v>42</v>
      </c>
      <c r="S48" s="20"/>
      <c r="T48" s="20"/>
      <c r="U48" s="5">
        <v>46082</v>
      </c>
      <c r="V48" s="4"/>
      <c r="W48" s="4"/>
      <c r="X48" s="18"/>
    </row>
    <row r="49" spans="1:24" x14ac:dyDescent="0.2">
      <c r="A49" s="4" t="s">
        <v>46</v>
      </c>
      <c r="B49" s="4" t="s">
        <v>44</v>
      </c>
      <c r="C49" s="4" t="s">
        <v>9</v>
      </c>
      <c r="D49" s="4">
        <v>8</v>
      </c>
      <c r="E49" s="12">
        <v>46037</v>
      </c>
      <c r="F49" s="11">
        <v>440000</v>
      </c>
      <c r="G49" s="24" t="s">
        <v>27</v>
      </c>
      <c r="H49" s="21"/>
      <c r="I49" s="22"/>
      <c r="J49" s="21"/>
      <c r="K49" s="21"/>
      <c r="L49" s="23"/>
      <c r="M49" s="23"/>
      <c r="N49" s="23"/>
      <c r="O49" s="23"/>
      <c r="P49" s="20"/>
      <c r="Q49" s="20"/>
      <c r="R49" s="6"/>
      <c r="S49" s="20"/>
      <c r="T49" s="20"/>
      <c r="U49" s="5">
        <v>46113</v>
      </c>
      <c r="V49" s="4"/>
      <c r="W49" s="4"/>
      <c r="X49" s="18"/>
    </row>
    <row r="50" spans="1:24" x14ac:dyDescent="0.2">
      <c r="A50" s="4" t="s">
        <v>45</v>
      </c>
      <c r="B50" s="4" t="s">
        <v>44</v>
      </c>
      <c r="C50" s="4" t="s">
        <v>9</v>
      </c>
      <c r="D50" s="4">
        <v>8</v>
      </c>
      <c r="E50" s="12">
        <v>46037</v>
      </c>
      <c r="F50" s="11">
        <v>440000</v>
      </c>
      <c r="G50" s="24" t="s">
        <v>27</v>
      </c>
      <c r="H50" s="21"/>
      <c r="I50" s="22"/>
      <c r="J50" s="21"/>
      <c r="K50" s="21"/>
      <c r="L50" s="23"/>
      <c r="M50" s="23"/>
      <c r="N50" s="23"/>
      <c r="O50" s="23"/>
      <c r="P50" s="20"/>
      <c r="Q50" s="20"/>
      <c r="R50" s="6"/>
      <c r="S50" s="20"/>
      <c r="T50" s="20"/>
      <c r="U50" s="5">
        <v>46113</v>
      </c>
      <c r="V50" s="4"/>
      <c r="W50" s="4"/>
      <c r="X50" s="18"/>
    </row>
    <row r="51" spans="1:24" x14ac:dyDescent="0.2">
      <c r="A51" s="4" t="s">
        <v>43</v>
      </c>
      <c r="B51" s="4" t="s">
        <v>4</v>
      </c>
      <c r="C51" s="4" t="s">
        <v>9</v>
      </c>
      <c r="D51" s="4">
        <v>8</v>
      </c>
      <c r="E51" s="12">
        <v>46037</v>
      </c>
      <c r="F51" s="11">
        <v>430000</v>
      </c>
      <c r="G51" s="24" t="s">
        <v>27</v>
      </c>
      <c r="H51" s="21"/>
      <c r="I51" s="22"/>
      <c r="J51" s="21"/>
      <c r="K51" s="21"/>
      <c r="L51" s="23"/>
      <c r="M51" s="23"/>
      <c r="N51" s="23"/>
      <c r="O51" s="23"/>
      <c r="P51" s="20"/>
      <c r="Q51" s="20"/>
      <c r="R51" s="6"/>
      <c r="S51" s="20"/>
      <c r="T51" s="20"/>
      <c r="U51" s="5">
        <v>46113</v>
      </c>
      <c r="V51" s="4"/>
      <c r="W51" s="4"/>
      <c r="X51" s="18"/>
    </row>
    <row r="52" spans="1:24" x14ac:dyDescent="0.2">
      <c r="A52" s="4" t="s">
        <v>42</v>
      </c>
      <c r="B52" s="4" t="s">
        <v>4</v>
      </c>
      <c r="C52" s="4" t="s">
        <v>12</v>
      </c>
      <c r="D52" s="4">
        <v>8</v>
      </c>
      <c r="E52" s="12">
        <v>46037</v>
      </c>
      <c r="F52" s="11">
        <v>335000</v>
      </c>
      <c r="G52" s="10" t="s">
        <v>2</v>
      </c>
      <c r="H52" s="21" t="s">
        <v>7</v>
      </c>
      <c r="I52" s="22">
        <v>46042</v>
      </c>
      <c r="J52" s="21" t="s">
        <v>7</v>
      </c>
      <c r="K52" s="25" t="s">
        <v>41</v>
      </c>
      <c r="L52" s="23"/>
      <c r="M52" s="23"/>
      <c r="N52" s="23"/>
      <c r="O52" s="23"/>
      <c r="P52" s="20"/>
      <c r="Q52" s="20"/>
      <c r="R52" s="6"/>
      <c r="S52" s="20"/>
      <c r="T52" s="20"/>
      <c r="U52" s="5">
        <v>46113</v>
      </c>
      <c r="V52" s="4"/>
      <c r="W52" s="4"/>
      <c r="X52" s="18"/>
    </row>
    <row r="53" spans="1:24" x14ac:dyDescent="0.2">
      <c r="A53" s="4" t="s">
        <v>40</v>
      </c>
      <c r="B53" s="4" t="s">
        <v>4</v>
      </c>
      <c r="C53" s="4" t="s">
        <v>12</v>
      </c>
      <c r="D53" s="4">
        <v>8</v>
      </c>
      <c r="E53" s="12">
        <v>46037</v>
      </c>
      <c r="F53" s="11">
        <v>335000</v>
      </c>
      <c r="G53" s="10" t="s">
        <v>2</v>
      </c>
      <c r="H53" s="21" t="s">
        <v>7</v>
      </c>
      <c r="I53" s="22">
        <v>46037</v>
      </c>
      <c r="J53" s="21" t="s">
        <v>7</v>
      </c>
      <c r="K53" s="21" t="s">
        <v>39</v>
      </c>
      <c r="L53" s="14">
        <v>46037</v>
      </c>
      <c r="M53" s="14">
        <v>46037</v>
      </c>
      <c r="N53" s="14">
        <v>46038</v>
      </c>
      <c r="O53" s="14">
        <v>46042</v>
      </c>
      <c r="P53" s="20"/>
      <c r="Q53" s="20"/>
      <c r="R53" s="6"/>
      <c r="S53" s="20"/>
      <c r="T53" s="20"/>
      <c r="U53" s="5">
        <v>46113</v>
      </c>
      <c r="V53" s="4"/>
      <c r="W53" s="4"/>
      <c r="X53" s="18"/>
    </row>
    <row r="54" spans="1:24" x14ac:dyDescent="0.2">
      <c r="A54" s="4" t="s">
        <v>38</v>
      </c>
      <c r="B54" s="4" t="s">
        <v>4</v>
      </c>
      <c r="C54" s="4" t="s">
        <v>9</v>
      </c>
      <c r="D54" s="4">
        <v>8</v>
      </c>
      <c r="E54" s="12">
        <v>46037</v>
      </c>
      <c r="F54" s="11">
        <v>415000</v>
      </c>
      <c r="G54" s="24" t="s">
        <v>27</v>
      </c>
      <c r="H54" s="21"/>
      <c r="I54" s="22"/>
      <c r="J54" s="21"/>
      <c r="K54" s="21"/>
      <c r="L54" s="23"/>
      <c r="M54" s="23"/>
      <c r="N54" s="23"/>
      <c r="O54" s="23"/>
      <c r="P54" s="20"/>
      <c r="Q54" s="20"/>
      <c r="R54" s="6"/>
      <c r="S54" s="20"/>
      <c r="T54" s="20"/>
      <c r="U54" s="5">
        <v>46113</v>
      </c>
      <c r="V54" s="4"/>
      <c r="W54" s="4"/>
      <c r="X54" s="18"/>
    </row>
    <row r="55" spans="1:24" x14ac:dyDescent="0.2">
      <c r="A55" s="4" t="s">
        <v>37</v>
      </c>
      <c r="B55" s="4" t="s">
        <v>4</v>
      </c>
      <c r="C55" s="4" t="s">
        <v>9</v>
      </c>
      <c r="D55" s="4">
        <v>8</v>
      </c>
      <c r="E55" s="12">
        <v>46037</v>
      </c>
      <c r="F55" s="11">
        <v>425000</v>
      </c>
      <c r="G55" s="10" t="s">
        <v>2</v>
      </c>
      <c r="H55" s="21" t="s">
        <v>7</v>
      </c>
      <c r="I55" s="22">
        <v>46043</v>
      </c>
      <c r="J55" s="21" t="s">
        <v>7</v>
      </c>
      <c r="K55" s="25" t="s">
        <v>36</v>
      </c>
      <c r="L55" s="7">
        <v>46043</v>
      </c>
      <c r="M55" s="7">
        <v>46043</v>
      </c>
      <c r="N55" s="7">
        <v>46044</v>
      </c>
      <c r="O55" s="23"/>
      <c r="P55" s="20"/>
      <c r="Q55" s="20"/>
      <c r="R55" s="6"/>
      <c r="S55" s="20"/>
      <c r="T55" s="20"/>
      <c r="U55" s="5">
        <v>46113</v>
      </c>
      <c r="V55" s="4"/>
      <c r="W55" s="4"/>
      <c r="X55" s="18"/>
    </row>
    <row r="56" spans="1:24" x14ac:dyDescent="0.2">
      <c r="A56" s="4" t="s">
        <v>35</v>
      </c>
      <c r="B56" s="4" t="s">
        <v>4</v>
      </c>
      <c r="C56" s="4" t="s">
        <v>3</v>
      </c>
      <c r="D56" s="4">
        <v>8</v>
      </c>
      <c r="E56" s="12">
        <v>46037</v>
      </c>
      <c r="F56" s="11">
        <v>485000</v>
      </c>
      <c r="G56" s="10" t="s">
        <v>2</v>
      </c>
      <c r="H56" s="21" t="s">
        <v>7</v>
      </c>
      <c r="I56" s="22">
        <v>46043</v>
      </c>
      <c r="J56" s="21" t="s">
        <v>7</v>
      </c>
      <c r="K56" s="21" t="s">
        <v>34</v>
      </c>
      <c r="L56" s="7">
        <v>46043</v>
      </c>
      <c r="M56" s="7">
        <v>46043</v>
      </c>
      <c r="N56" s="7">
        <v>46044</v>
      </c>
      <c r="O56" s="23"/>
      <c r="P56" s="20"/>
      <c r="Q56" s="20"/>
      <c r="R56" s="6"/>
      <c r="S56" s="20"/>
      <c r="T56" s="20"/>
      <c r="U56" s="5">
        <v>46113</v>
      </c>
      <c r="V56" s="4"/>
      <c r="W56" s="4"/>
      <c r="X56" s="18"/>
    </row>
    <row r="57" spans="1:24" x14ac:dyDescent="0.2">
      <c r="A57" s="4" t="s">
        <v>33</v>
      </c>
      <c r="B57" s="4" t="s">
        <v>4</v>
      </c>
      <c r="C57" s="4" t="s">
        <v>12</v>
      </c>
      <c r="D57" s="4">
        <v>8</v>
      </c>
      <c r="E57" s="12">
        <v>46037</v>
      </c>
      <c r="F57" s="11">
        <v>335000</v>
      </c>
      <c r="G57" s="24" t="s">
        <v>27</v>
      </c>
      <c r="H57" s="21"/>
      <c r="I57" s="22"/>
      <c r="J57" s="21"/>
      <c r="L57" s="23"/>
      <c r="M57" s="23"/>
      <c r="N57" s="23"/>
      <c r="O57" s="23"/>
      <c r="P57" s="20"/>
      <c r="Q57" s="20"/>
      <c r="R57" s="6"/>
      <c r="S57" s="20"/>
      <c r="T57" s="20"/>
      <c r="U57" s="5">
        <v>46113</v>
      </c>
      <c r="V57" s="4"/>
      <c r="W57" s="4"/>
      <c r="X57" s="18"/>
    </row>
    <row r="58" spans="1:24" x14ac:dyDescent="0.2">
      <c r="A58" s="4" t="s">
        <v>32</v>
      </c>
      <c r="B58" s="4" t="s">
        <v>4</v>
      </c>
      <c r="C58" s="4" t="s">
        <v>9</v>
      </c>
      <c r="D58" s="4">
        <v>8</v>
      </c>
      <c r="E58" s="12">
        <v>46037</v>
      </c>
      <c r="F58" s="11">
        <v>415000</v>
      </c>
      <c r="G58" s="10" t="s">
        <v>2</v>
      </c>
      <c r="H58" s="21" t="s">
        <v>7</v>
      </c>
      <c r="I58" s="22">
        <v>46038</v>
      </c>
      <c r="J58" s="21" t="s">
        <v>7</v>
      </c>
      <c r="K58" s="21" t="s">
        <v>31</v>
      </c>
      <c r="L58" s="14">
        <v>46038</v>
      </c>
      <c r="M58" s="14">
        <v>46038</v>
      </c>
      <c r="N58" s="14">
        <v>46038</v>
      </c>
      <c r="O58" s="14">
        <v>46042</v>
      </c>
      <c r="P58" s="20"/>
      <c r="Q58" s="20"/>
      <c r="R58" s="6"/>
      <c r="S58" s="20"/>
      <c r="T58" s="20"/>
      <c r="U58" s="5">
        <v>46113</v>
      </c>
      <c r="V58" s="4"/>
      <c r="W58" s="4"/>
      <c r="X58" s="18"/>
    </row>
    <row r="59" spans="1:24" x14ac:dyDescent="0.2">
      <c r="A59" s="4" t="s">
        <v>30</v>
      </c>
      <c r="B59" s="4" t="s">
        <v>4</v>
      </c>
      <c r="C59" s="4" t="s">
        <v>12</v>
      </c>
      <c r="D59" s="4">
        <v>8</v>
      </c>
      <c r="E59" s="12">
        <v>46037</v>
      </c>
      <c r="F59" s="11">
        <v>335000</v>
      </c>
      <c r="G59" s="10" t="s">
        <v>2</v>
      </c>
      <c r="H59" s="21" t="s">
        <v>7</v>
      </c>
      <c r="I59" s="22">
        <v>46042</v>
      </c>
      <c r="J59" s="21" t="s">
        <v>7</v>
      </c>
      <c r="K59" s="21" t="s">
        <v>29</v>
      </c>
      <c r="L59" s="4"/>
      <c r="M59" s="4"/>
      <c r="N59" s="4"/>
      <c r="O59" s="4"/>
      <c r="P59" s="20"/>
      <c r="Q59" s="20"/>
      <c r="R59" s="6"/>
      <c r="S59" s="20"/>
      <c r="T59" s="20"/>
      <c r="U59" s="5">
        <v>46113</v>
      </c>
      <c r="V59" s="4"/>
      <c r="W59" s="4"/>
      <c r="X59" s="18"/>
    </row>
    <row r="60" spans="1:24" x14ac:dyDescent="0.2">
      <c r="A60" s="4" t="s">
        <v>28</v>
      </c>
      <c r="B60" s="4" t="s">
        <v>4</v>
      </c>
      <c r="C60" s="4" t="s">
        <v>9</v>
      </c>
      <c r="D60" s="4">
        <v>8</v>
      </c>
      <c r="E60" s="12">
        <v>46037</v>
      </c>
      <c r="F60" s="11">
        <v>415000</v>
      </c>
      <c r="G60" s="24" t="s">
        <v>27</v>
      </c>
      <c r="H60" s="21"/>
      <c r="I60" s="22"/>
      <c r="J60" s="21"/>
      <c r="K60" s="21"/>
      <c r="L60" s="23"/>
      <c r="M60" s="23"/>
      <c r="N60" s="23"/>
      <c r="O60" s="23"/>
      <c r="P60" s="20"/>
      <c r="Q60" s="20"/>
      <c r="R60" s="6"/>
      <c r="S60" s="20"/>
      <c r="T60" s="20"/>
      <c r="U60" s="5">
        <v>46113</v>
      </c>
      <c r="V60" s="4"/>
      <c r="W60" s="4"/>
      <c r="X60" s="18"/>
    </row>
    <row r="61" spans="1:24" x14ac:dyDescent="0.2">
      <c r="A61" s="4" t="s">
        <v>26</v>
      </c>
      <c r="B61" s="4" t="s">
        <v>4</v>
      </c>
      <c r="C61" s="4" t="s">
        <v>3</v>
      </c>
      <c r="D61" s="4">
        <v>8</v>
      </c>
      <c r="E61" s="12">
        <v>46037</v>
      </c>
      <c r="F61" s="11">
        <v>485000</v>
      </c>
      <c r="G61" s="10" t="s">
        <v>2</v>
      </c>
      <c r="H61" s="21" t="s">
        <v>7</v>
      </c>
      <c r="I61" s="22">
        <v>46037</v>
      </c>
      <c r="J61" s="21" t="s">
        <v>7</v>
      </c>
      <c r="K61" s="21" t="s">
        <v>25</v>
      </c>
      <c r="L61" s="14">
        <v>46037</v>
      </c>
      <c r="M61" s="14">
        <v>46037</v>
      </c>
      <c r="N61" s="14">
        <v>46038</v>
      </c>
      <c r="O61" s="14">
        <v>46042</v>
      </c>
      <c r="P61" s="20"/>
      <c r="Q61" s="20"/>
      <c r="R61" s="6"/>
      <c r="S61" s="20"/>
      <c r="T61" s="20"/>
      <c r="U61" s="5">
        <v>46113</v>
      </c>
      <c r="V61" s="4"/>
      <c r="W61" s="4"/>
      <c r="X61" s="18"/>
    </row>
    <row r="62" spans="1:24" x14ac:dyDescent="0.2">
      <c r="A62" s="4" t="s">
        <v>24</v>
      </c>
      <c r="B62" s="4" t="s">
        <v>21</v>
      </c>
      <c r="C62" s="4" t="s">
        <v>9</v>
      </c>
      <c r="D62" s="4">
        <v>6</v>
      </c>
      <c r="E62" s="12">
        <v>45912</v>
      </c>
      <c r="F62" s="11">
        <v>495000</v>
      </c>
      <c r="G62" s="16" t="s">
        <v>8</v>
      </c>
      <c r="H62" s="4" t="s">
        <v>7</v>
      </c>
      <c r="I62" s="9">
        <v>45939</v>
      </c>
      <c r="J62" s="4" t="s">
        <v>7</v>
      </c>
      <c r="K62" s="4" t="s">
        <v>23</v>
      </c>
      <c r="L62" s="7">
        <v>45941</v>
      </c>
      <c r="M62" s="7">
        <v>45942</v>
      </c>
      <c r="N62" s="7">
        <v>45943</v>
      </c>
      <c r="O62" s="7">
        <v>45944</v>
      </c>
      <c r="P62" s="7">
        <v>45952</v>
      </c>
      <c r="Q62" s="7">
        <v>45953</v>
      </c>
      <c r="R62" s="14">
        <f>O62+42</f>
        <v>45986</v>
      </c>
      <c r="S62" s="7">
        <v>46010</v>
      </c>
      <c r="T62" s="7">
        <v>46010</v>
      </c>
      <c r="U62" s="5">
        <v>46054</v>
      </c>
      <c r="V62" s="4"/>
      <c r="W62" s="4"/>
      <c r="X62" s="3"/>
    </row>
    <row r="63" spans="1:24" x14ac:dyDescent="0.2">
      <c r="A63" s="4" t="s">
        <v>22</v>
      </c>
      <c r="B63" s="4" t="s">
        <v>21</v>
      </c>
      <c r="C63" s="4" t="s">
        <v>9</v>
      </c>
      <c r="D63" s="4">
        <v>6</v>
      </c>
      <c r="E63" s="12">
        <v>45912</v>
      </c>
      <c r="F63" s="11">
        <v>495000</v>
      </c>
      <c r="G63" s="16" t="s">
        <v>8</v>
      </c>
      <c r="H63" s="4"/>
      <c r="I63" s="9"/>
      <c r="J63" s="4"/>
      <c r="K63" s="8" t="s">
        <v>20</v>
      </c>
      <c r="L63" s="7">
        <v>45951</v>
      </c>
      <c r="M63" s="7">
        <v>45951</v>
      </c>
      <c r="N63" s="7">
        <v>45951</v>
      </c>
      <c r="O63" s="7">
        <v>45952</v>
      </c>
      <c r="P63" s="7">
        <v>45965</v>
      </c>
      <c r="Q63" s="7">
        <v>45968</v>
      </c>
      <c r="R63" s="14">
        <f>O63+42</f>
        <v>45994</v>
      </c>
      <c r="S63" s="7">
        <v>46002</v>
      </c>
      <c r="T63" s="7">
        <v>46009</v>
      </c>
      <c r="U63" s="5">
        <v>46054</v>
      </c>
      <c r="V63" s="4"/>
      <c r="W63" s="4"/>
      <c r="X63" s="18"/>
    </row>
    <row r="64" spans="1:24" x14ac:dyDescent="0.2">
      <c r="A64" s="4" t="s">
        <v>19</v>
      </c>
      <c r="B64" s="4" t="s">
        <v>4</v>
      </c>
      <c r="C64" s="4" t="s">
        <v>9</v>
      </c>
      <c r="D64" s="4">
        <v>6</v>
      </c>
      <c r="E64" s="12">
        <v>45912</v>
      </c>
      <c r="F64" s="11">
        <v>425000</v>
      </c>
      <c r="G64" s="10" t="s">
        <v>2</v>
      </c>
      <c r="H64" s="4" t="s">
        <v>7</v>
      </c>
      <c r="I64" s="9">
        <v>46041</v>
      </c>
      <c r="J64" s="4" t="s">
        <v>7</v>
      </c>
      <c r="K64" s="4" t="s">
        <v>18</v>
      </c>
      <c r="L64" s="7">
        <v>46041</v>
      </c>
      <c r="M64" s="7">
        <v>46041</v>
      </c>
      <c r="N64" s="7">
        <v>46042</v>
      </c>
      <c r="O64" s="7">
        <v>46042</v>
      </c>
      <c r="P64" s="4"/>
      <c r="Q64" s="4"/>
      <c r="R64" s="6">
        <f>O64+42</f>
        <v>46084</v>
      </c>
      <c r="S64" s="4"/>
      <c r="T64" s="4"/>
      <c r="U64" s="5">
        <v>46054</v>
      </c>
      <c r="V64" s="4"/>
      <c r="W64" s="4"/>
      <c r="X64" s="18"/>
    </row>
    <row r="65" spans="1:24" x14ac:dyDescent="0.2">
      <c r="A65" s="4" t="s">
        <v>17</v>
      </c>
      <c r="B65" s="4" t="s">
        <v>4</v>
      </c>
      <c r="C65" s="4" t="s">
        <v>9</v>
      </c>
      <c r="D65" s="4">
        <v>6</v>
      </c>
      <c r="E65" s="12">
        <v>45912</v>
      </c>
      <c r="F65" s="11">
        <v>410000</v>
      </c>
      <c r="G65" s="16" t="s">
        <v>8</v>
      </c>
      <c r="H65" s="4" t="s">
        <v>7</v>
      </c>
      <c r="I65" s="9">
        <v>45917</v>
      </c>
      <c r="J65" s="4"/>
      <c r="K65" s="8" t="s">
        <v>16</v>
      </c>
      <c r="L65" s="7">
        <v>45918</v>
      </c>
      <c r="M65" s="7">
        <v>45918</v>
      </c>
      <c r="N65" s="7">
        <v>45923</v>
      </c>
      <c r="O65" s="7">
        <v>45926</v>
      </c>
      <c r="P65" s="7">
        <v>45937</v>
      </c>
      <c r="Q65" s="7">
        <v>45952</v>
      </c>
      <c r="R65" s="14">
        <f>O65+42</f>
        <v>45968</v>
      </c>
      <c r="S65" s="7">
        <v>45979</v>
      </c>
      <c r="T65" s="7">
        <v>45980</v>
      </c>
      <c r="U65" s="5">
        <v>46054</v>
      </c>
      <c r="V65" s="4"/>
      <c r="W65" s="4"/>
      <c r="X65" s="19"/>
    </row>
    <row r="66" spans="1:24" x14ac:dyDescent="0.2">
      <c r="A66" s="4" t="s">
        <v>15</v>
      </c>
      <c r="B66" s="4" t="s">
        <v>4</v>
      </c>
      <c r="C66" s="4" t="s">
        <v>12</v>
      </c>
      <c r="D66" s="4">
        <v>6</v>
      </c>
      <c r="E66" s="12">
        <v>45912</v>
      </c>
      <c r="F66" s="11">
        <v>335000</v>
      </c>
      <c r="G66" s="16" t="s">
        <v>8</v>
      </c>
      <c r="H66" s="4" t="s">
        <v>7</v>
      </c>
      <c r="I66" s="9">
        <v>45912</v>
      </c>
      <c r="J66" s="4" t="s">
        <v>7</v>
      </c>
      <c r="K66" s="4" t="s">
        <v>14</v>
      </c>
      <c r="L66" s="7">
        <v>45915</v>
      </c>
      <c r="M66" s="7">
        <v>45915</v>
      </c>
      <c r="N66" s="7">
        <v>45915</v>
      </c>
      <c r="O66" s="7">
        <v>45926</v>
      </c>
      <c r="P66" s="7">
        <v>45936</v>
      </c>
      <c r="Q66" s="7">
        <v>45951</v>
      </c>
      <c r="R66" s="14">
        <f>O66+42</f>
        <v>45968</v>
      </c>
      <c r="S66" s="7">
        <v>45986</v>
      </c>
      <c r="T66" s="7">
        <v>45989</v>
      </c>
      <c r="U66" s="5">
        <v>46054</v>
      </c>
      <c r="V66" s="4"/>
      <c r="W66" s="4"/>
      <c r="X66" s="18"/>
    </row>
    <row r="67" spans="1:24" x14ac:dyDescent="0.2">
      <c r="A67" s="4" t="s">
        <v>13</v>
      </c>
      <c r="B67" s="4" t="s">
        <v>4</v>
      </c>
      <c r="C67" s="4" t="s">
        <v>12</v>
      </c>
      <c r="D67" s="4">
        <v>6</v>
      </c>
      <c r="E67" s="12">
        <v>45912</v>
      </c>
      <c r="F67" s="11">
        <v>335000</v>
      </c>
      <c r="G67" s="16" t="s">
        <v>8</v>
      </c>
      <c r="H67" s="4"/>
      <c r="I67" s="9"/>
      <c r="J67" s="4"/>
      <c r="K67" s="4" t="s">
        <v>11</v>
      </c>
      <c r="L67" s="7">
        <v>45972</v>
      </c>
      <c r="M67" s="7">
        <v>45972</v>
      </c>
      <c r="N67" s="7">
        <v>45972</v>
      </c>
      <c r="O67" s="7">
        <v>45973</v>
      </c>
      <c r="P67" s="7"/>
      <c r="Q67" s="15"/>
      <c r="R67" s="14">
        <f>O67+42</f>
        <v>46015</v>
      </c>
      <c r="S67" s="7">
        <v>46035</v>
      </c>
      <c r="T67" s="7">
        <v>46035</v>
      </c>
      <c r="U67" s="5">
        <v>46054</v>
      </c>
      <c r="V67" s="4"/>
      <c r="W67" s="4"/>
      <c r="X67" s="17"/>
    </row>
    <row r="68" spans="1:24" ht="16" x14ac:dyDescent="0.2">
      <c r="A68" s="4" t="s">
        <v>10</v>
      </c>
      <c r="B68" s="4" t="s">
        <v>4</v>
      </c>
      <c r="C68" s="4" t="s">
        <v>9</v>
      </c>
      <c r="D68" s="4">
        <v>6</v>
      </c>
      <c r="E68" s="12">
        <v>45912</v>
      </c>
      <c r="F68" s="11">
        <v>410000</v>
      </c>
      <c r="G68" s="16" t="s">
        <v>8</v>
      </c>
      <c r="H68" s="4" t="s">
        <v>7</v>
      </c>
      <c r="I68" s="9">
        <v>45912</v>
      </c>
      <c r="J68" s="4"/>
      <c r="K68" s="4" t="s">
        <v>6</v>
      </c>
      <c r="L68" s="7">
        <v>45915</v>
      </c>
      <c r="M68" s="7">
        <v>45915</v>
      </c>
      <c r="N68" s="7">
        <v>45915</v>
      </c>
      <c r="O68" s="7">
        <v>45926</v>
      </c>
      <c r="P68" s="15"/>
      <c r="Q68" s="15"/>
      <c r="R68" s="14">
        <f>O68+42</f>
        <v>45968</v>
      </c>
      <c r="S68" s="7">
        <v>45961</v>
      </c>
      <c r="T68" s="7">
        <v>45965</v>
      </c>
      <c r="U68" s="5">
        <v>46054</v>
      </c>
      <c r="V68" s="4"/>
      <c r="W68" s="4"/>
      <c r="X68" s="13"/>
    </row>
    <row r="69" spans="1:24" x14ac:dyDescent="0.2">
      <c r="A69" s="4" t="s">
        <v>5</v>
      </c>
      <c r="B69" s="4" t="s">
        <v>4</v>
      </c>
      <c r="C69" s="4" t="s">
        <v>3</v>
      </c>
      <c r="D69" s="4">
        <v>6</v>
      </c>
      <c r="E69" s="12">
        <v>45912</v>
      </c>
      <c r="F69" s="11">
        <v>475000</v>
      </c>
      <c r="G69" s="10" t="s">
        <v>2</v>
      </c>
      <c r="H69" s="4"/>
      <c r="I69" s="9">
        <v>45933</v>
      </c>
      <c r="J69" s="4"/>
      <c r="K69" s="8" t="s">
        <v>1</v>
      </c>
      <c r="L69" s="7">
        <v>45933</v>
      </c>
      <c r="M69" s="7">
        <v>45933</v>
      </c>
      <c r="N69" s="7">
        <v>45933</v>
      </c>
      <c r="O69" s="7">
        <v>45943</v>
      </c>
      <c r="P69" s="4"/>
      <c r="Q69" s="4"/>
      <c r="R69" s="6">
        <f>O69+42</f>
        <v>45985</v>
      </c>
      <c r="S69" s="4"/>
      <c r="T69" s="4"/>
      <c r="U69" s="5">
        <v>46054</v>
      </c>
      <c r="V69" s="4"/>
      <c r="W69" s="4"/>
      <c r="X69" s="3" t="s">
        <v>0</v>
      </c>
    </row>
    <row r="70" spans="1:24" x14ac:dyDescent="0.2">
      <c r="F70" s="2"/>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 Progress - N5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Donworth</dc:creator>
  <cp:lastModifiedBy>Sam Donworth</cp:lastModifiedBy>
  <dcterms:created xsi:type="dcterms:W3CDTF">2026-01-31T18:16:16Z</dcterms:created>
  <dcterms:modified xsi:type="dcterms:W3CDTF">2026-01-31T18:16:29Z</dcterms:modified>
</cp:coreProperties>
</file>